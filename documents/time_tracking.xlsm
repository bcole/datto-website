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hoss_000\Documents\Senior Project Time an Effort Tracking\"/>
    </mc:Choice>
  </mc:AlternateContent>
  <bookViews>
    <workbookView xWindow="0" yWindow="0" windowWidth="19200" windowHeight="8060"/>
  </bookViews>
  <sheets>
    <sheet name="Team Reporting" sheetId="1" r:id="rId1"/>
  </sheets>
  <functionGroups builtInGroupCount="18"/>
  <definedNames>
    <definedName name="IndividualDir">'Team Reporting'!$E$7</definedName>
    <definedName name="IndividualFiles">'Team Reporting'!$E$2:$H$6</definedName>
  </definedNames>
  <calcPr calcId="152511"/>
</workbook>
</file>

<file path=xl/calcChain.xml><?xml version="1.0" encoding="utf-8"?>
<calcChain xmlns="http://schemas.openxmlformats.org/spreadsheetml/2006/main">
  <c r="E37" i="1" l="1"/>
  <c r="A18" i="1"/>
  <c r="A44" i="1"/>
  <c r="A43" i="1"/>
  <c r="A19" i="1"/>
  <c r="A17" i="1"/>
  <c r="A30" i="1"/>
  <c r="A28" i="1"/>
  <c r="A32" i="1"/>
  <c r="A31" i="1"/>
  <c r="A16" i="1"/>
  <c r="A29" i="1"/>
  <c r="A41" i="1"/>
  <c r="A45" i="1"/>
  <c r="A42" i="1"/>
  <c r="A15" i="1"/>
  <c r="B45" i="1" l="1" a="1"/>
  <c r="B45" i="1" s="1"/>
  <c r="B32" i="1" a="1"/>
  <c r="B32" i="1" s="1"/>
  <c r="B18" i="1" a="1"/>
  <c r="B18" i="1" s="1"/>
  <c r="B31" i="1" a="1"/>
  <c r="B31" i="1" s="1"/>
  <c r="B44" i="1" a="1"/>
  <c r="B44" i="1" s="1"/>
  <c r="B30" i="1" a="1"/>
  <c r="B30" i="1" s="1"/>
  <c r="B29" i="1" a="1"/>
  <c r="B29" i="1" s="1"/>
  <c r="B28" i="1" a="1"/>
  <c r="B28" i="1" s="1"/>
  <c r="B19" i="1" a="1"/>
  <c r="B19" i="1" s="1"/>
  <c r="E29" i="1" a="1"/>
  <c r="E19" i="1" a="1"/>
  <c r="E30" i="1" a="1"/>
  <c r="E28" i="1" a="1"/>
  <c r="E17" i="1" a="1"/>
  <c r="E32" i="1" a="1"/>
  <c r="E31" i="1" a="1"/>
  <c r="E16" i="1" a="1"/>
  <c r="E18" i="1" a="1"/>
  <c r="E15" i="1" a="1"/>
  <c r="P32" i="1" l="1"/>
  <c r="K32" i="1"/>
  <c r="I18" i="1"/>
  <c r="K18" i="1"/>
  <c r="R19" i="1"/>
  <c r="I19" i="1"/>
  <c r="T19" i="1"/>
  <c r="G19" i="1"/>
  <c r="Y19" i="1"/>
  <c r="J19" i="1"/>
  <c r="S19" i="1"/>
  <c r="S31" i="1"/>
  <c r="O19" i="1"/>
  <c r="Q19" i="1"/>
  <c r="N19" i="1"/>
  <c r="H18" i="1"/>
  <c r="M32" i="1"/>
  <c r="Y16" i="1"/>
  <c r="L29" i="1"/>
  <c r="V17" i="1"/>
  <c r="O17" i="1"/>
  <c r="R17" i="1"/>
  <c r="N17" i="1"/>
  <c r="W17" i="1"/>
  <c r="V28" i="1"/>
  <c r="E15" i="1"/>
  <c r="T30" i="1"/>
  <c r="P30" i="1"/>
  <c r="G30" i="1"/>
  <c r="W30" i="1"/>
  <c r="X18" i="1"/>
  <c r="S18" i="1"/>
  <c r="J18" i="1"/>
  <c r="B33" i="1"/>
  <c r="K19" i="1"/>
  <c r="W19" i="1"/>
  <c r="G29" i="1"/>
  <c r="O30" i="1"/>
  <c r="X15" i="1"/>
  <c r="F30" i="1"/>
  <c r="V19" i="1"/>
  <c r="L15" i="1"/>
  <c r="K31" i="1"/>
  <c r="O15" i="1"/>
  <c r="M28" i="1"/>
  <c r="N28" i="1"/>
  <c r="N15" i="1"/>
  <c r="J30" i="1"/>
  <c r="F19" i="1"/>
  <c r="Z32" i="1"/>
  <c r="S15" i="1"/>
  <c r="Y30" i="1"/>
  <c r="J32" i="1"/>
  <c r="G15" i="1"/>
  <c r="K30" i="1"/>
  <c r="S30" i="1"/>
  <c r="V30" i="1"/>
  <c r="U32" i="1"/>
  <c r="Z30" i="1"/>
  <c r="S32" i="1"/>
  <c r="N32" i="1"/>
  <c r="X30" i="1"/>
  <c r="T32" i="1"/>
  <c r="E19" i="1"/>
  <c r="H19" i="1"/>
  <c r="L19" i="1"/>
  <c r="X19" i="1"/>
  <c r="M19" i="1"/>
  <c r="U19" i="1"/>
  <c r="K15" i="1"/>
  <c r="U28" i="1"/>
  <c r="M30" i="1"/>
  <c r="U30" i="1"/>
  <c r="G17" i="1"/>
  <c r="F15" i="1"/>
  <c r="I32" i="1"/>
  <c r="Y32" i="1"/>
  <c r="G32" i="1"/>
  <c r="W32" i="1"/>
  <c r="X32" i="1"/>
  <c r="V32" i="1"/>
  <c r="L32" i="1"/>
  <c r="P19" i="1"/>
  <c r="E32" i="1"/>
  <c r="H32" i="1"/>
  <c r="R32" i="1"/>
  <c r="O32" i="1"/>
  <c r="I30" i="1"/>
  <c r="Q30" i="1"/>
  <c r="V15" i="1"/>
  <c r="N30" i="1"/>
  <c r="Q32" i="1"/>
  <c r="R30" i="1"/>
  <c r="P15" i="1"/>
  <c r="L30" i="1"/>
  <c r="F32" i="1"/>
  <c r="W15" i="1"/>
  <c r="E17" i="1"/>
  <c r="H17" i="1"/>
  <c r="I17" i="1"/>
  <c r="Q17" i="1"/>
  <c r="Y17" i="1"/>
  <c r="X17" i="1"/>
  <c r="P17" i="1"/>
  <c r="K17" i="1"/>
  <c r="S17" i="1"/>
  <c r="M17" i="1"/>
  <c r="U17" i="1"/>
  <c r="T17" i="1"/>
  <c r="F17" i="1"/>
  <c r="J17" i="1"/>
  <c r="L17" i="1"/>
  <c r="E30" i="1"/>
  <c r="H30" i="1"/>
  <c r="I28" i="1"/>
  <c r="Q28" i="1"/>
  <c r="Y28" i="1"/>
  <c r="Z28" i="1"/>
  <c r="M15" i="1"/>
  <c r="U15" i="1"/>
  <c r="K28" i="1"/>
  <c r="S28" i="1"/>
  <c r="J28" i="1"/>
  <c r="J15" i="1"/>
  <c r="T15" i="1"/>
  <c r="I15" i="1"/>
  <c r="Q15" i="1"/>
  <c r="Y15" i="1"/>
  <c r="G28" i="1"/>
  <c r="O28" i="1"/>
  <c r="W28" i="1"/>
  <c r="R28" i="1"/>
  <c r="R15" i="1"/>
  <c r="L28" i="1"/>
  <c r="H15" i="1"/>
  <c r="F28" i="1"/>
  <c r="U18" i="1"/>
  <c r="N18" i="1"/>
  <c r="L18" i="1"/>
  <c r="Q18" i="1"/>
  <c r="Y18" i="1"/>
  <c r="J29" i="1"/>
  <c r="G18" i="1"/>
  <c r="V18" i="1"/>
  <c r="F18" i="1"/>
  <c r="T18" i="1"/>
  <c r="M18" i="1"/>
  <c r="O18" i="1"/>
  <c r="W18" i="1"/>
  <c r="O29" i="1"/>
  <c r="E18" i="1"/>
  <c r="R18" i="1"/>
  <c r="P18" i="1"/>
  <c r="W29" i="1"/>
  <c r="Z29" i="1"/>
  <c r="X29" i="1"/>
  <c r="I29" i="1"/>
  <c r="Q29" i="1"/>
  <c r="Y29" i="1"/>
  <c r="N29" i="1"/>
  <c r="E28" i="1"/>
  <c r="P28" i="1"/>
  <c r="X28" i="1"/>
  <c r="T28" i="1"/>
  <c r="H28" i="1"/>
  <c r="E29" i="1"/>
  <c r="T29" i="1"/>
  <c r="K29" i="1"/>
  <c r="S29" i="1"/>
  <c r="R29" i="1"/>
  <c r="M29" i="1"/>
  <c r="U29" i="1"/>
  <c r="F29" i="1"/>
  <c r="V29" i="1"/>
  <c r="P29" i="1"/>
  <c r="H29" i="1"/>
  <c r="M16" i="1"/>
  <c r="E31" i="1"/>
  <c r="L31" i="1"/>
  <c r="T31" i="1"/>
  <c r="F31" i="1"/>
  <c r="N31" i="1"/>
  <c r="V31" i="1"/>
  <c r="H31" i="1"/>
  <c r="P31" i="1"/>
  <c r="X31" i="1"/>
  <c r="J31" i="1"/>
  <c r="R31" i="1"/>
  <c r="Z31" i="1"/>
  <c r="U16" i="1"/>
  <c r="G31" i="1"/>
  <c r="O31" i="1"/>
  <c r="W31" i="1"/>
  <c r="I16" i="1"/>
  <c r="Q16" i="1"/>
  <c r="E16" i="1"/>
  <c r="J16" i="1"/>
  <c r="R16" i="1"/>
  <c r="L16" i="1"/>
  <c r="T16" i="1"/>
  <c r="F16" i="1"/>
  <c r="N16" i="1"/>
  <c r="V16" i="1"/>
  <c r="H16" i="1"/>
  <c r="P16" i="1"/>
  <c r="X16" i="1"/>
  <c r="M31" i="1"/>
  <c r="U31" i="1"/>
  <c r="G16" i="1"/>
  <c r="O16" i="1"/>
  <c r="W16" i="1"/>
  <c r="I31" i="1"/>
  <c r="Q31" i="1"/>
  <c r="Y31" i="1"/>
  <c r="K16" i="1"/>
  <c r="S16" i="1"/>
  <c r="F33" i="1" l="1"/>
  <c r="C18" i="1" a="1"/>
  <c r="C18" i="1" s="1"/>
  <c r="C44" i="1" s="1"/>
  <c r="D18" i="1" a="1"/>
  <c r="D18" i="1" s="1"/>
  <c r="D31" i="1" a="1"/>
  <c r="D31" i="1" s="1"/>
  <c r="C31" i="1" a="1"/>
  <c r="C31" i="1" s="1"/>
  <c r="D32" i="1" a="1"/>
  <c r="D32" i="1" s="1"/>
  <c r="C32" i="1" a="1"/>
  <c r="C32" i="1" s="1"/>
  <c r="D19" i="1" a="1"/>
  <c r="D19" i="1" s="1"/>
  <c r="C19" i="1" a="1"/>
  <c r="C19" i="1" s="1"/>
  <c r="J33" i="1"/>
  <c r="H20" i="1"/>
  <c r="E20" i="1"/>
  <c r="B43" i="1" a="1"/>
  <c r="B43" i="1" s="1"/>
  <c r="B17" i="1" a="1"/>
  <c r="B17" i="1" s="1"/>
  <c r="B16" i="1" a="1"/>
  <c r="B16" i="1" s="1"/>
  <c r="B42" i="1" a="1"/>
  <c r="B42" i="1" s="1"/>
  <c r="B15" i="1" a="1"/>
  <c r="B15" i="1" s="1"/>
  <c r="B41" i="1" a="1"/>
  <c r="B41" i="1" s="1"/>
  <c r="O20" i="1"/>
  <c r="N20" i="1"/>
  <c r="X20" i="1"/>
  <c r="M33" i="1"/>
  <c r="C16" i="1" a="1"/>
  <c r="C16" i="1" s="1"/>
  <c r="D16" i="1" a="1"/>
  <c r="D16" i="1" s="1"/>
  <c r="V20" i="1"/>
  <c r="L20" i="1"/>
  <c r="L33" i="1"/>
  <c r="D17" i="1" a="1"/>
  <c r="D17" i="1" s="1"/>
  <c r="C17" i="1" a="1"/>
  <c r="C17" i="1" s="1"/>
  <c r="D29" i="1" a="1"/>
  <c r="D29" i="1" s="1"/>
  <c r="C29" i="1" a="1"/>
  <c r="C29" i="1" s="1"/>
  <c r="R20" i="1"/>
  <c r="D30" i="1" a="1"/>
  <c r="D30" i="1" s="1"/>
  <c r="C30" i="1" a="1"/>
  <c r="C30" i="1" s="1"/>
  <c r="C15" i="1" a="1"/>
  <c r="C15" i="1" s="1"/>
  <c r="D15" i="1" a="1"/>
  <c r="D15" i="1" s="1"/>
  <c r="G20" i="1"/>
  <c r="P20" i="1"/>
  <c r="F20" i="1"/>
  <c r="J20" i="1"/>
  <c r="S33" i="1"/>
  <c r="H33" i="1"/>
  <c r="C28" i="1" a="1"/>
  <c r="C28" i="1" s="1"/>
  <c r="D28" i="1" a="1"/>
  <c r="D28" i="1" s="1"/>
  <c r="D33" i="1" s="1"/>
  <c r="Y20" i="1"/>
  <c r="T20" i="1"/>
  <c r="K33" i="1"/>
  <c r="W20" i="1"/>
  <c r="S20" i="1"/>
  <c r="K20" i="1"/>
  <c r="I20" i="1"/>
  <c r="U20" i="1"/>
  <c r="Q20" i="1"/>
  <c r="G33" i="1"/>
  <c r="T33" i="1"/>
  <c r="M20" i="1"/>
  <c r="W33" i="1"/>
  <c r="O33" i="1"/>
  <c r="U33" i="1"/>
  <c r="I33" i="1"/>
  <c r="X33" i="1"/>
  <c r="N33" i="1"/>
  <c r="E33" i="1"/>
  <c r="R33" i="1"/>
  <c r="Z33" i="1"/>
  <c r="P33" i="1"/>
  <c r="Y33" i="1"/>
  <c r="Q33" i="1"/>
  <c r="V33" i="1"/>
  <c r="D42" i="1" l="1"/>
  <c r="D45" i="1"/>
  <c r="C45" i="1"/>
  <c r="D44" i="1"/>
  <c r="B20" i="1"/>
  <c r="C33" i="1"/>
  <c r="B46" i="1"/>
  <c r="C43" i="1"/>
  <c r="D43" i="1"/>
  <c r="D41" i="1"/>
  <c r="D20" i="1"/>
  <c r="C41" i="1"/>
  <c r="C20" i="1"/>
  <c r="C42" i="1"/>
  <c r="D46" i="1" l="1"/>
  <c r="C46" i="1"/>
</calcChain>
</file>

<file path=xl/sharedStrings.xml><?xml version="1.0" encoding="utf-8"?>
<sst xmlns="http://schemas.openxmlformats.org/spreadsheetml/2006/main" count="79" uniqueCount="43">
  <si>
    <t>Wk1Act</t>
  </si>
  <si>
    <t>Wk2Est</t>
  </si>
  <si>
    <t>Wk2Act</t>
  </si>
  <si>
    <t>Wk3Est</t>
  </si>
  <si>
    <t>Wk3Act</t>
  </si>
  <si>
    <t>Wk4Est</t>
  </si>
  <si>
    <t>Wk4Act</t>
  </si>
  <si>
    <t>Wk5Est</t>
  </si>
  <si>
    <t>Wk5Act</t>
  </si>
  <si>
    <t>Wk6Est</t>
  </si>
  <si>
    <t>Wk6Act</t>
  </si>
  <si>
    <t>Wk7Est</t>
  </si>
  <si>
    <t>Wk7Act</t>
  </si>
  <si>
    <t>Wk8Est</t>
  </si>
  <si>
    <t>Wk8Act</t>
  </si>
  <si>
    <t>Wk9Est</t>
  </si>
  <si>
    <t>Wk9Act</t>
  </si>
  <si>
    <t>Wk10Est</t>
  </si>
  <si>
    <t>Wk10Act</t>
  </si>
  <si>
    <t>FinalsEst</t>
  </si>
  <si>
    <t>FinalsAct</t>
  </si>
  <si>
    <t>Team Name:</t>
  </si>
  <si>
    <t>Individual reporting file names:</t>
  </si>
  <si>
    <t>Act</t>
  </si>
  <si>
    <t>Est</t>
  </si>
  <si>
    <t>Team totals</t>
  </si>
  <si>
    <t>First Term</t>
  </si>
  <si>
    <t>Second Term</t>
  </si>
  <si>
    <t>Wk1Est</t>
  </si>
  <si>
    <t>Number of weeks:</t>
  </si>
  <si>
    <t>Totals</t>
  </si>
  <si>
    <t>Entire Project</t>
  </si>
  <si>
    <t>Even when you have all of the indidividual time reporting files opened, a recalculation may not be triggered in this team reporting file.  Press this button to force a recalculation of the totals.</t>
  </si>
  <si>
    <t>Each week, increment the number of weeks reported for the term.</t>
  </si>
  <si>
    <t>Avg Act</t>
  </si>
  <si>
    <t>Directory for individual files:</t>
  </si>
  <si>
    <t>To update the data you will need to have all of the individual time reporting files opened.  Press this button to open all the individual files.
If the individual files are not in the same directory as the team file, indicate the subdirectory where they exist.</t>
  </si>
  <si>
    <t>Masters of Disaster</t>
  </si>
  <si>
    <t>Aarons_Time-Effort.xlsx</t>
  </si>
  <si>
    <t>Brandons_Time-Effort.xlsx</t>
  </si>
  <si>
    <t>Jakes_Time-Effort.xlsx</t>
  </si>
  <si>
    <t>Jhossue_Time-Effort.xlsx</t>
  </si>
  <si>
    <t>Nsama_Time-Effort.xlsx</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</si>
</sst>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0"/>
      <name val="Arial"/>
    </font>
    <font>
      <sz val="10"/>
      <name val="Arial"/>
      <family val="2"/>
    </font>
    <font>
      <sz val="8"/>
      <name val="Arial"/>
      <family val="2"/>
    </font>
    <font>
      <b/>
      <sz val="14"/>
      <name val="Arial"/>
      <family val="2"/>
    </font>
    <font>
      <sz val="16"/>
      <name val="Arial"/>
      <family val="2"/>
    </font>
    <font>
      <b/>
      <sz val="10"/>
      <name val="Arial"/>
      <family val="2"/>
    </font>
    <font>
      <sz val="10"/>
      <color indexed="10"/>
      <name val="Arial"/>
      <family val="2"/>
    </font>
    <font>
      <sz val="14"/>
      <name val="Arial"/>
      <family val="2"/>
    </font>
    <font>
      <sz val="14"/>
      <name val="Arial"/>
      <family val="2"/>
    </font>
    <font>
      <sz val="12"/>
      <name val="Times New Roman"/>
      <family val="1"/>
    </font>
    <font>
      <sz val="12"/>
      <name val="Arial"/>
      <family val="2"/>
    </font>
    <font>
      <sz val="16"/>
      <name val="Arial"/>
      <family val="2"/>
    </font>
    <font>
      <b/>
      <sz val="12"/>
      <color rgb="FF000000"/>
      <name val="Arial"/>
      <family val="2"/>
    </font>
  </fonts>
  <fills count="3">
    <fill>
      <patternFill patternType="none"/>
    </fill>
    <fill>
      <patternFill patternType="gray125"/>
    </fill>
    <fill>
      <patternFill patternType="solid">
        <fgColor indexed="22"/>
        <bgColor indexed="64"/>
      </patternFill>
    </fill>
  </fills>
  <borders count="58">
    <border>
      <left/>
      <right/>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bottom style="medium">
        <color indexed="16"/>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46"/>
      </left>
      <right/>
      <top style="medium">
        <color indexed="46"/>
      </top>
      <bottom style="medium">
        <color indexed="46"/>
      </bottom>
      <diagonal/>
    </border>
    <border>
      <left/>
      <right/>
      <top style="medium">
        <color indexed="46"/>
      </top>
      <bottom style="medium">
        <color indexed="46"/>
      </bottom>
      <diagonal/>
    </border>
    <border>
      <left/>
      <right style="medium">
        <color indexed="46"/>
      </right>
      <top style="medium">
        <color indexed="46"/>
      </top>
      <bottom style="medium">
        <color indexed="46"/>
      </bottom>
      <diagonal/>
    </border>
    <border>
      <left style="medium">
        <color indexed="16"/>
      </left>
      <right/>
      <top style="medium">
        <color indexed="16"/>
      </top>
      <bottom/>
      <diagonal/>
    </border>
    <border>
      <left/>
      <right/>
      <top style="medium">
        <color indexed="16"/>
      </top>
      <bottom/>
      <diagonal/>
    </border>
    <border>
      <left/>
      <right style="medium">
        <color indexed="16"/>
      </right>
      <top style="medium">
        <color indexed="16"/>
      </top>
      <bottom/>
      <diagonal/>
    </border>
    <border>
      <left style="medium">
        <color indexed="16"/>
      </left>
      <right/>
      <top/>
      <bottom/>
      <diagonal/>
    </border>
    <border>
      <left/>
      <right style="medium">
        <color indexed="16"/>
      </right>
      <top/>
      <bottom/>
      <diagonal/>
    </border>
    <border>
      <left style="medium">
        <color indexed="16"/>
      </left>
      <right/>
      <top/>
      <bottom style="medium">
        <color indexed="16"/>
      </bottom>
      <diagonal/>
    </border>
    <border>
      <left/>
      <right style="medium">
        <color indexed="16"/>
      </right>
      <top/>
      <bottom style="medium">
        <color indexed="16"/>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46"/>
      </left>
      <right/>
      <top style="medium">
        <color indexed="46"/>
      </top>
      <bottom/>
      <diagonal/>
    </border>
    <border>
      <left/>
      <right/>
      <top style="medium">
        <color indexed="46"/>
      </top>
      <bottom/>
      <diagonal/>
    </border>
    <border>
      <left/>
      <right style="medium">
        <color indexed="46"/>
      </right>
      <top style="medium">
        <color indexed="46"/>
      </top>
      <bottom/>
      <diagonal/>
    </border>
    <border>
      <left style="medium">
        <color indexed="46"/>
      </left>
      <right/>
      <top/>
      <bottom/>
      <diagonal/>
    </border>
    <border>
      <left/>
      <right style="medium">
        <color indexed="46"/>
      </right>
      <top/>
      <bottom/>
      <diagonal/>
    </border>
    <border>
      <left style="medium">
        <color indexed="46"/>
      </left>
      <right/>
      <top/>
      <bottom style="medium">
        <color indexed="46"/>
      </bottom>
      <diagonal/>
    </border>
    <border>
      <left/>
      <right/>
      <top/>
      <bottom style="medium">
        <color indexed="46"/>
      </bottom>
      <diagonal/>
    </border>
    <border>
      <left/>
      <right style="medium">
        <color indexed="46"/>
      </right>
      <top/>
      <bottom style="medium">
        <color indexed="46"/>
      </bottom>
      <diagonal/>
    </border>
    <border>
      <left style="medium">
        <color rgb="FFCC99FF"/>
      </left>
      <right/>
      <top style="medium">
        <color rgb="FFCC99FF"/>
      </top>
      <bottom/>
      <diagonal/>
    </border>
    <border>
      <left/>
      <right/>
      <top style="medium">
        <color rgb="FFCC99FF"/>
      </top>
      <bottom/>
      <diagonal/>
    </border>
    <border>
      <left/>
      <right style="medium">
        <color rgb="FFCC99FF"/>
      </right>
      <top style="medium">
        <color rgb="FFCC99FF"/>
      </top>
      <bottom/>
      <diagonal/>
    </border>
    <border>
      <left style="medium">
        <color rgb="FFCC99FF"/>
      </left>
      <right/>
      <top/>
      <bottom/>
      <diagonal/>
    </border>
    <border>
      <left/>
      <right style="medium">
        <color rgb="FFCC99FF"/>
      </right>
      <top/>
      <bottom/>
      <diagonal/>
    </border>
    <border>
      <left style="medium">
        <color rgb="FFCC99FF"/>
      </left>
      <right/>
      <top/>
      <bottom style="medium">
        <color rgb="FFCC99FF"/>
      </bottom>
      <diagonal/>
    </border>
    <border>
      <left/>
      <right/>
      <top/>
      <bottom style="medium">
        <color rgb="FFCC99FF"/>
      </bottom>
      <diagonal/>
    </border>
    <border>
      <left/>
      <right style="medium">
        <color rgb="FFCC99FF"/>
      </right>
      <top/>
      <bottom style="medium">
        <color rgb="FFCC99FF"/>
      </bottom>
      <diagonal/>
    </border>
  </borders>
  <cellStyleXfs count="1">
    <xf numFmtId="0" fontId="0" fillId="0" borderId="0"/>
  </cellStyleXfs>
  <cellXfs count="98">
    <xf numFmtId="0" fontId="0" fillId="0" borderId="0" xfId="0"/>
    <xf numFmtId="0" fontId="0" fillId="0" borderId="1" xfId="0" applyBorder="1"/>
    <xf numFmtId="0" fontId="0" fillId="0" borderId="2" xfId="0" applyBorder="1"/>
    <xf numFmtId="0" fontId="4" fillId="0" borderId="0" xfId="0" applyFont="1"/>
    <xf numFmtId="0" fontId="0" fillId="0" borderId="3" xfId="0" applyNumberFormat="1" applyBorder="1"/>
    <xf numFmtId="0" fontId="0" fillId="0" borderId="4" xfId="0" applyNumberFormat="1" applyBorder="1"/>
    <xf numFmtId="0" fontId="0" fillId="0" borderId="5" xfId="0" applyNumberFormat="1" applyBorder="1"/>
    <xf numFmtId="0" fontId="0" fillId="0" borderId="0" xfId="0" applyBorder="1"/>
    <xf numFmtId="0" fontId="0" fillId="0" borderId="6" xfId="0" applyBorder="1"/>
    <xf numFmtId="0" fontId="0" fillId="0" borderId="7" xfId="0" applyBorder="1" applyAlignment="1">
      <alignment horizontal="right"/>
    </xf>
    <xf numFmtId="0" fontId="0" fillId="0" borderId="1" xfId="0" applyBorder="1" applyAlignment="1">
      <alignment horizontal="right"/>
    </xf>
    <xf numFmtId="0" fontId="0" fillId="0" borderId="2" xfId="0" applyBorder="1" applyAlignment="1">
      <alignment horizontal="right"/>
    </xf>
    <xf numFmtId="0" fontId="0" fillId="0" borderId="8" xfId="0" applyBorder="1" applyAlignment="1">
      <alignment horizontal="right"/>
    </xf>
    <xf numFmtId="2" fontId="0" fillId="0" borderId="9" xfId="0" applyNumberFormat="1" applyBorder="1"/>
    <xf numFmtId="2" fontId="0" fillId="0" borderId="10" xfId="0" applyNumberFormat="1" applyBorder="1"/>
    <xf numFmtId="2" fontId="0" fillId="0" borderId="7" xfId="0" applyNumberFormat="1" applyBorder="1"/>
    <xf numFmtId="2" fontId="0" fillId="0" borderId="11" xfId="0" applyNumberFormat="1" applyBorder="1"/>
    <xf numFmtId="2" fontId="0" fillId="0" borderId="12" xfId="0" applyNumberFormat="1" applyBorder="1"/>
    <xf numFmtId="2" fontId="0" fillId="0" borderId="13" xfId="0" applyNumberFormat="1" applyBorder="1"/>
    <xf numFmtId="2" fontId="0" fillId="0" borderId="1" xfId="0" applyNumberFormat="1" applyBorder="1"/>
    <xf numFmtId="2" fontId="0" fillId="0" borderId="14" xfId="0" applyNumberFormat="1" applyBorder="1"/>
    <xf numFmtId="0" fontId="1" fillId="0" borderId="8" xfId="0" applyFont="1" applyBorder="1"/>
    <xf numFmtId="0" fontId="7" fillId="0" borderId="0" xfId="0" applyFont="1"/>
    <xf numFmtId="0" fontId="8" fillId="0" borderId="0" xfId="0" applyFont="1"/>
    <xf numFmtId="0" fontId="5" fillId="0" borderId="0" xfId="0" applyFont="1"/>
    <xf numFmtId="0" fontId="5" fillId="0" borderId="0" xfId="0" applyFont="1" applyAlignment="1">
      <alignment horizontal="right"/>
    </xf>
    <xf numFmtId="0" fontId="0" fillId="0" borderId="0" xfId="0" applyAlignment="1">
      <alignment horizontal="right"/>
    </xf>
    <xf numFmtId="2" fontId="0" fillId="0" borderId="15" xfId="0" applyNumberFormat="1" applyBorder="1"/>
    <xf numFmtId="2" fontId="0" fillId="0" borderId="16" xfId="0" applyNumberFormat="1" applyBorder="1"/>
    <xf numFmtId="2" fontId="0" fillId="0" borderId="17" xfId="0" applyNumberFormat="1" applyBorder="1"/>
    <xf numFmtId="2" fontId="0" fillId="0" borderId="8" xfId="0" applyNumberFormat="1" applyBorder="1"/>
    <xf numFmtId="2" fontId="0" fillId="0" borderId="2" xfId="0" applyNumberFormat="1" applyBorder="1"/>
    <xf numFmtId="2" fontId="0" fillId="0" borderId="18" xfId="0" applyNumberFormat="1" applyBorder="1"/>
    <xf numFmtId="2" fontId="0" fillId="0" borderId="19" xfId="0" applyNumberFormat="1" applyBorder="1"/>
    <xf numFmtId="2" fontId="0" fillId="0" borderId="20" xfId="0" applyNumberFormat="1" applyBorder="1"/>
    <xf numFmtId="2" fontId="0" fillId="0" borderId="21" xfId="0" applyNumberFormat="1" applyBorder="1"/>
    <xf numFmtId="2" fontId="0" fillId="0" borderId="22" xfId="0" applyNumberFormat="1" applyBorder="1"/>
    <xf numFmtId="2" fontId="0" fillId="0" borderId="23" xfId="0" applyNumberFormat="1" applyBorder="1"/>
    <xf numFmtId="0" fontId="6" fillId="0" borderId="0" xfId="0" applyFont="1"/>
    <xf numFmtId="14" fontId="0" fillId="0" borderId="0" xfId="0" applyNumberFormat="1"/>
    <xf numFmtId="0" fontId="0" fillId="0" borderId="0" xfId="0" applyNumberFormat="1"/>
    <xf numFmtId="0" fontId="0" fillId="0" borderId="0" xfId="0" applyAlignment="1">
      <alignment horizontal="center"/>
    </xf>
    <xf numFmtId="0" fontId="5" fillId="0" borderId="0" xfId="0" applyFont="1" applyAlignment="1">
      <alignment horizontal="left"/>
    </xf>
    <xf numFmtId="2" fontId="0" fillId="0" borderId="0" xfId="0" applyNumberFormat="1" applyBorder="1"/>
    <xf numFmtId="0" fontId="0" fillId="0" borderId="24" xfId="0" applyNumberFormat="1" applyBorder="1"/>
    <xf numFmtId="0" fontId="0" fillId="0" borderId="25" xfId="0" applyNumberFormat="1" applyBorder="1"/>
    <xf numFmtId="0" fontId="0" fillId="0" borderId="26" xfId="0" applyNumberFormat="1" applyBorder="1"/>
    <xf numFmtId="49" fontId="9" fillId="0" borderId="0" xfId="0" applyNumberFormat="1" applyFont="1" applyBorder="1" applyAlignment="1">
      <alignment horizontal="left"/>
    </xf>
    <xf numFmtId="0" fontId="4" fillId="2" borderId="0" xfId="0" applyFont="1" applyFill="1"/>
    <xf numFmtId="0" fontId="0" fillId="2" borderId="0" xfId="0" applyFill="1"/>
    <xf numFmtId="49" fontId="9" fillId="2" borderId="0" xfId="0" applyNumberFormat="1" applyFont="1" applyFill="1" applyBorder="1" applyAlignment="1">
      <alignment horizontal="left"/>
    </xf>
    <xf numFmtId="0" fontId="0" fillId="2" borderId="0" xfId="0" applyFill="1" applyBorder="1"/>
    <xf numFmtId="2" fontId="0" fillId="2" borderId="0" xfId="0" applyNumberFormat="1" applyFill="1" applyBorder="1"/>
    <xf numFmtId="0" fontId="0" fillId="0" borderId="8" xfId="0" applyBorder="1"/>
    <xf numFmtId="0" fontId="3" fillId="0" borderId="0" xfId="0" applyFont="1"/>
    <xf numFmtId="2" fontId="5" fillId="0" borderId="0" xfId="0" applyNumberFormat="1" applyFont="1" applyAlignment="1">
      <alignment horizontal="left"/>
    </xf>
    <xf numFmtId="0" fontId="5" fillId="0" borderId="24" xfId="0" applyFont="1" applyBorder="1" applyAlignment="1">
      <alignment horizontal="center"/>
    </xf>
    <xf numFmtId="0" fontId="5" fillId="0" borderId="28" xfId="0" applyFont="1" applyBorder="1" applyAlignment="1">
      <alignment horizontal="center"/>
    </xf>
    <xf numFmtId="0" fontId="5" fillId="0" borderId="29" xfId="0" applyFont="1" applyBorder="1" applyAlignment="1">
      <alignment horizontal="center"/>
    </xf>
    <xf numFmtId="0" fontId="10" fillId="0" borderId="42" xfId="0" applyFont="1" applyBorder="1" applyAlignment="1">
      <alignment horizontal="left" vertical="top" wrapText="1"/>
    </xf>
    <xf numFmtId="0" fontId="10" fillId="0" borderId="43" xfId="0" applyFont="1" applyBorder="1" applyAlignment="1">
      <alignment horizontal="left" vertical="top" wrapText="1"/>
    </xf>
    <xf numFmtId="0" fontId="10" fillId="0" borderId="44" xfId="0" applyFont="1" applyBorder="1" applyAlignment="1">
      <alignment horizontal="left" vertical="top" wrapText="1"/>
    </xf>
    <xf numFmtId="0" fontId="10" fillId="0" borderId="45" xfId="0" applyFont="1" applyBorder="1" applyAlignment="1">
      <alignment horizontal="left" vertical="top" wrapText="1"/>
    </xf>
    <xf numFmtId="0" fontId="10" fillId="0" borderId="0" xfId="0" applyFont="1" applyBorder="1" applyAlignment="1">
      <alignment horizontal="left" vertical="top" wrapText="1"/>
    </xf>
    <xf numFmtId="0" fontId="10" fillId="0" borderId="46" xfId="0" applyFont="1" applyBorder="1" applyAlignment="1">
      <alignment horizontal="left" vertical="top" wrapText="1"/>
    </xf>
    <xf numFmtId="0" fontId="10" fillId="0" borderId="47" xfId="0" applyFont="1" applyBorder="1" applyAlignment="1">
      <alignment horizontal="left" vertical="top" wrapText="1"/>
    </xf>
    <xf numFmtId="0" fontId="10" fillId="0" borderId="48" xfId="0" applyFont="1" applyBorder="1" applyAlignment="1">
      <alignment horizontal="left" vertical="top" wrapText="1"/>
    </xf>
    <xf numFmtId="0" fontId="10" fillId="0" borderId="49" xfId="0" applyFont="1" applyBorder="1" applyAlignment="1">
      <alignment horizontal="left" vertical="top" wrapText="1"/>
    </xf>
    <xf numFmtId="49" fontId="7" fillId="0" borderId="36" xfId="0" applyNumberFormat="1" applyFont="1" applyBorder="1" applyAlignment="1">
      <alignment horizontal="left"/>
    </xf>
    <xf numFmtId="49" fontId="8" fillId="0" borderId="0" xfId="0" applyNumberFormat="1" applyFont="1" applyBorder="1" applyAlignment="1">
      <alignment horizontal="left"/>
    </xf>
    <xf numFmtId="49" fontId="8" fillId="0" borderId="37" xfId="0" applyNumberFormat="1" applyFont="1" applyBorder="1" applyAlignment="1">
      <alignment horizontal="left"/>
    </xf>
    <xf numFmtId="49" fontId="7" fillId="0" borderId="38" xfId="0" applyNumberFormat="1" applyFont="1" applyBorder="1" applyAlignment="1">
      <alignment horizontal="left"/>
    </xf>
    <xf numFmtId="49" fontId="8" fillId="0" borderId="27" xfId="0" applyNumberFormat="1" applyFont="1" applyBorder="1" applyAlignment="1">
      <alignment horizontal="left"/>
    </xf>
    <xf numFmtId="49" fontId="8" fillId="0" borderId="39" xfId="0" applyNumberFormat="1" applyFont="1" applyBorder="1" applyAlignment="1">
      <alignment horizontal="left"/>
    </xf>
    <xf numFmtId="0" fontId="3" fillId="0" borderId="28" xfId="0" applyFont="1" applyBorder="1" applyAlignment="1">
      <alignment horizontal="center"/>
    </xf>
    <xf numFmtId="0" fontId="3" fillId="0" borderId="29" xfId="0" applyFont="1" applyBorder="1" applyAlignment="1">
      <alignment horizontal="center"/>
    </xf>
    <xf numFmtId="49" fontId="8" fillId="0" borderId="34" xfId="0" applyNumberFormat="1" applyFont="1" applyBorder="1" applyAlignment="1">
      <alignment horizontal="left"/>
    </xf>
    <xf numFmtId="0" fontId="11" fillId="0" borderId="0" xfId="0" applyFont="1" applyAlignment="1">
      <alignment horizontal="right"/>
    </xf>
    <xf numFmtId="49" fontId="7" fillId="0" borderId="27" xfId="0" applyNumberFormat="1" applyFont="1" applyBorder="1" applyAlignment="1">
      <alignment horizontal="left"/>
    </xf>
    <xf numFmtId="0" fontId="10" fillId="0" borderId="30" xfId="0" applyFont="1" applyBorder="1" applyAlignment="1">
      <alignment horizontal="left" vertical="top" wrapText="1"/>
    </xf>
    <xf numFmtId="0" fontId="10" fillId="0" borderId="31" xfId="0" applyFont="1" applyBorder="1" applyAlignment="1">
      <alignment horizontal="left" vertical="top" wrapText="1"/>
    </xf>
    <xf numFmtId="0" fontId="10" fillId="0" borderId="32" xfId="0" applyFont="1" applyBorder="1" applyAlignment="1">
      <alignment horizontal="left" vertical="top" wrapText="1"/>
    </xf>
    <xf numFmtId="49" fontId="7" fillId="0" borderId="33" xfId="0" applyNumberFormat="1" applyFont="1" applyBorder="1" applyAlignment="1">
      <alignment horizontal="left"/>
    </xf>
    <xf numFmtId="49" fontId="8" fillId="0" borderId="35" xfId="0" applyNumberFormat="1" applyFont="1" applyBorder="1" applyAlignment="1">
      <alignment horizontal="left"/>
    </xf>
    <xf numFmtId="0" fontId="3" fillId="0" borderId="40" xfId="0" applyFont="1" applyBorder="1" applyAlignment="1">
      <alignment horizontal="center"/>
    </xf>
    <xf numFmtId="0" fontId="3" fillId="0" borderId="41" xfId="0" applyFont="1" applyBorder="1" applyAlignment="1">
      <alignment horizontal="center"/>
    </xf>
    <xf numFmtId="0" fontId="3" fillId="0" borderId="21" xfId="0" applyFont="1" applyBorder="1" applyAlignment="1">
      <alignment horizontal="center"/>
    </xf>
    <xf numFmtId="0" fontId="4" fillId="0" borderId="0" xfId="0" applyFont="1" applyAlignment="1">
      <alignment horizontal="right"/>
    </xf>
    <xf numFmtId="0" fontId="10" fillId="0" borderId="50" xfId="0" applyFont="1" applyFill="1" applyBorder="1" applyAlignment="1">
      <alignment vertical="top" wrapText="1"/>
    </xf>
    <xf numFmtId="0" fontId="10" fillId="0" borderId="51" xfId="0" applyFont="1" applyFill="1" applyBorder="1" applyAlignment="1">
      <alignment vertical="top" wrapText="1"/>
    </xf>
    <xf numFmtId="0" fontId="10" fillId="0" borderId="52" xfId="0" applyFont="1" applyFill="1" applyBorder="1" applyAlignment="1">
      <alignment vertical="top" wrapText="1"/>
    </xf>
    <xf numFmtId="0" fontId="10" fillId="0" borderId="53" xfId="0" applyFont="1" applyFill="1" applyBorder="1" applyAlignment="1">
      <alignment vertical="top" wrapText="1"/>
    </xf>
    <xf numFmtId="0" fontId="10" fillId="0" borderId="0" xfId="0" applyFont="1" applyFill="1" applyBorder="1" applyAlignment="1">
      <alignment vertical="top" wrapText="1"/>
    </xf>
    <xf numFmtId="0" fontId="10" fillId="0" borderId="54" xfId="0" applyFont="1" applyFill="1" applyBorder="1" applyAlignment="1">
      <alignment vertical="top" wrapText="1"/>
    </xf>
    <xf numFmtId="0" fontId="10" fillId="0" borderId="55" xfId="0" applyFont="1" applyFill="1" applyBorder="1" applyAlignment="1">
      <alignment vertical="top" wrapText="1"/>
    </xf>
    <xf numFmtId="0" fontId="10" fillId="0" borderId="56" xfId="0" applyFont="1" applyFill="1" applyBorder="1" applyAlignment="1">
      <alignment vertical="top" wrapText="1"/>
    </xf>
    <xf numFmtId="0" fontId="10" fillId="0" borderId="57" xfId="0" applyFont="1" applyFill="1" applyBorder="1" applyAlignment="1">
      <alignment vertical="top" wrapText="1"/>
    </xf>
    <xf numFmtId="0" fontId="4" fillId="0" borderId="37" xfId="0" applyFont="1" applyBorder="1" applyAlignment="1">
      <alignment horizontal="right"/>
    </xf>
  </cellXfs>
  <cellStyles count="1">
    <cellStyle name="Normal" xfId="0" builtinId="0"/>
  </cellStyles>
  <dxfs count="0"/>
  <tableStyles count="0" defaultTableStyle="TableStyleMedium9" defaultPivotStyle="PivotStyleLight16"/>
  <colors>
    <mruColors>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0</xdr:row>
          <xdr:rowOff>260350</xdr:rowOff>
        </xdr:from>
        <xdr:to>
          <xdr:col>10</xdr:col>
          <xdr:colOff>488950</xdr:colOff>
          <xdr:row>3</xdr:row>
          <xdr:rowOff>31750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1" i="0" u="none" strike="noStrike" baseline="0">
                  <a:solidFill>
                    <a:srgbClr val="000000"/>
                  </a:solidFill>
                  <a:latin typeface="Arial"/>
                  <a:cs typeface="Arial"/>
                </a:rPr>
                <a:t>Open Workbooks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508000</xdr:colOff>
          <xdr:row>38</xdr:row>
          <xdr:rowOff>0</xdr:rowOff>
        </xdr:from>
        <xdr:to>
          <xdr:col>7</xdr:col>
          <xdr:colOff>508000</xdr:colOff>
          <xdr:row>41</xdr:row>
          <xdr:rowOff>38100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1" i="0" u="none" strike="noStrike" baseline="0">
                  <a:solidFill>
                    <a:srgbClr val="000000"/>
                  </a:solidFill>
                  <a:latin typeface="Arial"/>
                  <a:cs typeface="Arial"/>
                </a:rPr>
                <a:t>Recalculate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A71"/>
  <sheetViews>
    <sheetView tabSelected="1" topLeftCell="A14" zoomScale="75" workbookViewId="0">
      <selection activeCell="J4" sqref="J4"/>
    </sheetView>
  </sheetViews>
  <sheetFormatPr defaultRowHeight="12.5" x14ac:dyDescent="0.25"/>
  <cols>
    <col min="1" max="1" width="20.26953125" customWidth="1"/>
    <col min="2" max="4" width="7.7265625" customWidth="1"/>
    <col min="5" max="5" width="8.7265625" customWidth="1"/>
    <col min="6" max="23" width="7.7265625" customWidth="1"/>
    <col min="24" max="24" width="8.453125" customWidth="1"/>
    <col min="25" max="25" width="9" customWidth="1"/>
    <col min="26" max="26" width="8.81640625" customWidth="1"/>
    <col min="27" max="29" width="7.7265625" customWidth="1"/>
    <col min="30" max="31" width="8.7265625" customWidth="1"/>
    <col min="32" max="51" width="7.7265625" customWidth="1"/>
    <col min="52" max="53" width="8.7265625" customWidth="1"/>
  </cols>
  <sheetData>
    <row r="1" spans="1:25" ht="20.5" thickBot="1" x14ac:dyDescent="0.45">
      <c r="B1" s="87" t="s">
        <v>21</v>
      </c>
      <c r="C1" s="87"/>
      <c r="D1" s="87"/>
      <c r="E1" s="78" t="s">
        <v>37</v>
      </c>
      <c r="F1" s="78"/>
      <c r="G1" s="78"/>
      <c r="H1" s="78"/>
    </row>
    <row r="2" spans="1:25" ht="20.25" customHeight="1" x14ac:dyDescent="0.4">
      <c r="A2" s="87" t="s">
        <v>22</v>
      </c>
      <c r="B2" s="87"/>
      <c r="C2" s="87"/>
      <c r="D2" s="97"/>
      <c r="E2" s="82" t="s">
        <v>38</v>
      </c>
      <c r="F2" s="76"/>
      <c r="G2" s="76"/>
      <c r="H2" s="83"/>
      <c r="M2" s="88" t="s">
        <v>36</v>
      </c>
      <c r="N2" s="89"/>
      <c r="O2" s="89"/>
      <c r="P2" s="89"/>
      <c r="Q2" s="89"/>
      <c r="R2" s="90"/>
    </row>
    <row r="3" spans="1:25" ht="20" x14ac:dyDescent="0.4">
      <c r="A3" s="3"/>
      <c r="C3" s="3"/>
      <c r="E3" s="68" t="s">
        <v>39</v>
      </c>
      <c r="F3" s="69"/>
      <c r="G3" s="69"/>
      <c r="H3" s="70"/>
      <c r="M3" s="91"/>
      <c r="N3" s="92"/>
      <c r="O3" s="92"/>
      <c r="P3" s="92"/>
      <c r="Q3" s="92"/>
      <c r="R3" s="93"/>
    </row>
    <row r="4" spans="1:25" ht="20" x14ac:dyDescent="0.4">
      <c r="A4" s="3"/>
      <c r="C4" s="3"/>
      <c r="E4" s="68" t="s">
        <v>40</v>
      </c>
      <c r="F4" s="69"/>
      <c r="G4" s="69"/>
      <c r="H4" s="70"/>
      <c r="M4" s="91"/>
      <c r="N4" s="92"/>
      <c r="O4" s="92"/>
      <c r="P4" s="92"/>
      <c r="Q4" s="92"/>
      <c r="R4" s="93"/>
    </row>
    <row r="5" spans="1:25" ht="20" x14ac:dyDescent="0.4">
      <c r="A5" s="3"/>
      <c r="C5" s="3"/>
      <c r="E5" s="68" t="s">
        <v>41</v>
      </c>
      <c r="F5" s="69"/>
      <c r="G5" s="69"/>
      <c r="H5" s="70"/>
      <c r="M5" s="91"/>
      <c r="N5" s="92"/>
      <c r="O5" s="92"/>
      <c r="P5" s="92"/>
      <c r="Q5" s="92"/>
      <c r="R5" s="93"/>
    </row>
    <row r="6" spans="1:25" ht="20.5" thickBot="1" x14ac:dyDescent="0.45">
      <c r="A6" s="3"/>
      <c r="C6" s="3"/>
      <c r="E6" s="71" t="s">
        <v>42</v>
      </c>
      <c r="F6" s="72"/>
      <c r="G6" s="72"/>
      <c r="H6" s="73"/>
      <c r="M6" s="91"/>
      <c r="N6" s="92"/>
      <c r="O6" s="92"/>
      <c r="P6" s="92"/>
      <c r="Q6" s="92"/>
      <c r="R6" s="93"/>
    </row>
    <row r="7" spans="1:25" ht="20.5" thickBot="1" x14ac:dyDescent="0.45">
      <c r="A7" s="77" t="s">
        <v>35</v>
      </c>
      <c r="B7" s="77"/>
      <c r="C7" s="77"/>
      <c r="D7" s="77"/>
      <c r="E7" s="76"/>
      <c r="F7" s="76"/>
      <c r="G7" s="76"/>
      <c r="H7" s="76"/>
      <c r="M7" s="94"/>
      <c r="N7" s="95"/>
      <c r="O7" s="95"/>
      <c r="P7" s="95"/>
      <c r="Q7" s="95"/>
      <c r="R7" s="96"/>
    </row>
    <row r="8" spans="1:25" ht="20" x14ac:dyDescent="0.4">
      <c r="A8" s="3"/>
      <c r="C8" s="3"/>
      <c r="E8" s="47"/>
      <c r="F8" s="47"/>
      <c r="G8" s="47"/>
      <c r="H8" s="47"/>
    </row>
    <row r="9" spans="1:25" s="49" customFormat="1" ht="10" customHeight="1" x14ac:dyDescent="0.4">
      <c r="A9" s="48"/>
      <c r="C9" s="48"/>
      <c r="E9" s="50"/>
      <c r="F9" s="50"/>
      <c r="G9" s="50"/>
      <c r="H9" s="50"/>
    </row>
    <row r="10" spans="1:25" ht="13" thickBot="1" x14ac:dyDescent="0.3"/>
    <row r="11" spans="1:25" ht="18.75" customHeight="1" thickBot="1" x14ac:dyDescent="0.45">
      <c r="A11" s="54" t="s">
        <v>26</v>
      </c>
      <c r="D11" s="25" t="s">
        <v>29</v>
      </c>
      <c r="E11" s="41">
        <v>0</v>
      </c>
      <c r="F11" s="79" t="s">
        <v>33</v>
      </c>
      <c r="G11" s="80"/>
      <c r="H11" s="80"/>
      <c r="I11" s="80"/>
      <c r="J11" s="80"/>
      <c r="K11" s="80"/>
      <c r="L11" s="80"/>
      <c r="M11" s="80"/>
      <c r="N11" s="81"/>
    </row>
    <row r="12" spans="1:25" ht="18.5" thickBot="1" x14ac:dyDescent="0.45">
      <c r="A12" s="54"/>
      <c r="D12" s="25"/>
    </row>
    <row r="13" spans="1:25" ht="18" x14ac:dyDescent="0.4">
      <c r="A13" s="55"/>
      <c r="B13" s="56" t="s">
        <v>30</v>
      </c>
      <c r="C13" s="57"/>
      <c r="D13" s="58"/>
      <c r="E13" s="74" t="s">
        <v>26</v>
      </c>
      <c r="F13" s="74"/>
      <c r="G13" s="74"/>
      <c r="H13" s="74"/>
      <c r="I13" s="74"/>
      <c r="J13" s="74"/>
      <c r="K13" s="74"/>
      <c r="L13" s="74"/>
      <c r="M13" s="74"/>
      <c r="N13" s="74"/>
      <c r="O13" s="74"/>
      <c r="P13" s="74"/>
      <c r="Q13" s="74"/>
      <c r="R13" s="74"/>
      <c r="S13" s="74"/>
      <c r="T13" s="74"/>
      <c r="U13" s="74"/>
      <c r="V13" s="74"/>
      <c r="W13" s="74"/>
      <c r="X13" s="74"/>
      <c r="Y13" s="75"/>
    </row>
    <row r="14" spans="1:25" ht="13" thickBot="1" x14ac:dyDescent="0.3">
      <c r="B14" s="9" t="s">
        <v>34</v>
      </c>
      <c r="C14" s="10" t="s">
        <v>23</v>
      </c>
      <c r="D14" s="11" t="s">
        <v>24</v>
      </c>
      <c r="E14" s="53" t="s">
        <v>0</v>
      </c>
      <c r="F14" s="1" t="s">
        <v>1</v>
      </c>
      <c r="G14" s="1" t="s">
        <v>2</v>
      </c>
      <c r="H14" s="1" t="s">
        <v>3</v>
      </c>
      <c r="I14" s="1" t="s">
        <v>4</v>
      </c>
      <c r="J14" s="1" t="s">
        <v>5</v>
      </c>
      <c r="K14" s="1" t="s">
        <v>6</v>
      </c>
      <c r="L14" s="1" t="s">
        <v>7</v>
      </c>
      <c r="M14" s="1" t="s">
        <v>8</v>
      </c>
      <c r="N14" s="1" t="s">
        <v>9</v>
      </c>
      <c r="O14" s="1" t="s">
        <v>10</v>
      </c>
      <c r="P14" s="1" t="s">
        <v>11</v>
      </c>
      <c r="Q14" s="1" t="s">
        <v>12</v>
      </c>
      <c r="R14" s="1" t="s">
        <v>13</v>
      </c>
      <c r="S14" s="1" t="s">
        <v>14</v>
      </c>
      <c r="T14" s="1" t="s">
        <v>15</v>
      </c>
      <c r="U14" s="1" t="s">
        <v>16</v>
      </c>
      <c r="V14" s="1" t="s">
        <v>17</v>
      </c>
      <c r="W14" s="1" t="s">
        <v>18</v>
      </c>
      <c r="X14" s="1" t="s">
        <v>19</v>
      </c>
      <c r="Y14" s="2" t="s">
        <v>20</v>
      </c>
    </row>
    <row r="15" spans="1:25" x14ac:dyDescent="0.25">
      <c r="A15" s="44" t="str">
        <f>IF(ISBLANK(E2),"",GetValuesFromNamedRange(E2,"Name"))</f>
        <v>Aaron Damrau</v>
      </c>
      <c r="B15" s="33" t="str">
        <f t="array" ref="B15">IF(OR($E$11=0,A15=""),"", SUM(IF(RIGHT($E$14:$Y$14,3)="Act",E15:Y15,0))/$E$11)</f>
        <v/>
      </c>
      <c r="C15" s="17">
        <f t="array" ref="C15">IF(A15="","",SUM(IF(ISNUMBER(E15:Y15),E15:Y15,0)*ISNUMBER(SEARCH("Act",$E$14:$Y$14))))</f>
        <v>9.5</v>
      </c>
      <c r="D15" s="34">
        <f t="array" ref="D15">IF(A15="","",SUM(IF(ISNUMBER(E15:Y15),E15:Y15,0)*ISNUMBER(SEARCH("Est",$E$14:$Y$14))))</f>
        <v>4.5</v>
      </c>
      <c r="E15" s="27">
        <f t="array" ref="E15:Y15">IF(A15 = "","",GetValuesFromNamedRange(E2,"T1Data"))</f>
        <v>2.5</v>
      </c>
      <c r="F15" s="17">
        <v>0</v>
      </c>
      <c r="G15" s="17">
        <v>3.25</v>
      </c>
      <c r="H15" s="17">
        <v>0</v>
      </c>
      <c r="I15" s="17">
        <v>3.75</v>
      </c>
      <c r="J15" s="17">
        <v>4.5</v>
      </c>
      <c r="K15" s="17">
        <v>0</v>
      </c>
      <c r="L15" s="17">
        <v>0</v>
      </c>
      <c r="M15" s="17">
        <v>0</v>
      </c>
      <c r="N15" s="17">
        <v>0</v>
      </c>
      <c r="O15" s="17">
        <v>0</v>
      </c>
      <c r="P15" s="17">
        <v>0</v>
      </c>
      <c r="Q15" s="17">
        <v>0</v>
      </c>
      <c r="R15" s="17">
        <v>0</v>
      </c>
      <c r="S15" s="17">
        <v>0</v>
      </c>
      <c r="T15" s="17">
        <v>0</v>
      </c>
      <c r="U15" s="17">
        <v>0</v>
      </c>
      <c r="V15" s="17">
        <v>0</v>
      </c>
      <c r="W15" s="17">
        <v>0</v>
      </c>
      <c r="X15" s="17">
        <v>0</v>
      </c>
      <c r="Y15" s="34">
        <v>0</v>
      </c>
    </row>
    <row r="16" spans="1:25" x14ac:dyDescent="0.25">
      <c r="A16" s="45" t="str">
        <f>IF(ISBLANK(E3),"",GetValuesFromNamedRange(E3,"Name"))</f>
        <v>Brandon Cole</v>
      </c>
      <c r="B16" s="33" t="str">
        <f t="array" ref="B16">IF(OR($E$11=0,A16=""),"", SUM(IF(RIGHT($E$14:$Y$14,3)="Act",E16:Y16,0))/$E$11)</f>
        <v/>
      </c>
      <c r="C16" s="18">
        <f t="array" ref="C16">IF(A16="","",SUM(IF(ISNUMBER(E16:Y16),E16:Y16,0)*ISNUMBER(SEARCH("Act",$E$14:$Y$14))))</f>
        <v>16.5</v>
      </c>
      <c r="D16" s="29">
        <f t="array" ref="D16">IF(A16="","",SUM(IF(ISNUMBER(E16:Y16),E16:Y16,0)*ISNUMBER(SEARCH("Est",$E$14:$Y$14))))</f>
        <v>16</v>
      </c>
      <c r="E16" s="27">
        <f t="array" ref="E16:Y16">IF(A16 = "","",GetValuesFromNamedRange(E3,"T1Data"))</f>
        <v>2</v>
      </c>
      <c r="F16" s="17">
        <v>4</v>
      </c>
      <c r="G16" s="17">
        <v>6</v>
      </c>
      <c r="H16" s="17">
        <v>7.5</v>
      </c>
      <c r="I16" s="17">
        <v>8.5</v>
      </c>
      <c r="J16" s="17">
        <v>4.5</v>
      </c>
      <c r="K16" s="17">
        <v>0</v>
      </c>
      <c r="L16" s="17">
        <v>0</v>
      </c>
      <c r="M16" s="17">
        <v>0</v>
      </c>
      <c r="N16" s="17">
        <v>0</v>
      </c>
      <c r="O16" s="17">
        <v>0</v>
      </c>
      <c r="P16" s="17">
        <v>0</v>
      </c>
      <c r="Q16" s="17">
        <v>0</v>
      </c>
      <c r="R16" s="17">
        <v>0</v>
      </c>
      <c r="S16" s="17">
        <v>0</v>
      </c>
      <c r="T16" s="17">
        <v>0</v>
      </c>
      <c r="U16" s="17">
        <v>0</v>
      </c>
      <c r="V16" s="17">
        <v>0</v>
      </c>
      <c r="W16" s="17">
        <v>0</v>
      </c>
      <c r="X16" s="17">
        <v>0</v>
      </c>
      <c r="Y16" s="34">
        <v>0</v>
      </c>
    </row>
    <row r="17" spans="1:53" x14ac:dyDescent="0.25">
      <c r="A17" s="45" t="str">
        <f>IF(ISBLANK(E4),"",GetValuesFromNamedRange(E4,"Name"))</f>
        <v>Jacob Peterson</v>
      </c>
      <c r="B17" s="33" t="str">
        <f t="array" ref="B17">IF(OR($E$11=0,A17=""),"", SUM(IF(RIGHT($E$14:$Y$14,3)="Act",E17:Y17,0))/$E$11)</f>
        <v/>
      </c>
      <c r="C17" s="18">
        <f t="array" ref="C17">IF(A17="","",SUM(IF(ISNUMBER(E17:Y17),E17:Y17,0)*ISNUMBER(SEARCH("Act",$E$14:$Y$14))))</f>
        <v>7</v>
      </c>
      <c r="D17" s="29">
        <f t="array" ref="D17">IF(A17="","",SUM(IF(ISNUMBER(E17:Y17),E17:Y17,0)*ISNUMBER(SEARCH("Est",$E$14:$Y$14))))</f>
        <v>11.5</v>
      </c>
      <c r="E17" s="27">
        <f t="array" ref="E17:Y17">IF(A17 = "","",GetValuesFromNamedRange(E4,"T1Data"))</f>
        <v>2</v>
      </c>
      <c r="F17" s="17">
        <v>4</v>
      </c>
      <c r="G17" s="17">
        <v>5</v>
      </c>
      <c r="H17" s="17">
        <v>7.5</v>
      </c>
      <c r="I17" s="17">
        <v>0</v>
      </c>
      <c r="J17" s="17">
        <v>0</v>
      </c>
      <c r="K17" s="17">
        <v>0</v>
      </c>
      <c r="L17" s="17">
        <v>0</v>
      </c>
      <c r="M17" s="17">
        <v>0</v>
      </c>
      <c r="N17" s="17">
        <v>0</v>
      </c>
      <c r="O17" s="17">
        <v>0</v>
      </c>
      <c r="P17" s="17">
        <v>0</v>
      </c>
      <c r="Q17" s="17">
        <v>0</v>
      </c>
      <c r="R17" s="17">
        <v>0</v>
      </c>
      <c r="S17" s="17">
        <v>0</v>
      </c>
      <c r="T17" s="17">
        <v>0</v>
      </c>
      <c r="U17" s="17">
        <v>0</v>
      </c>
      <c r="V17" s="17">
        <v>0</v>
      </c>
      <c r="W17" s="17">
        <v>0</v>
      </c>
      <c r="X17" s="17">
        <v>0</v>
      </c>
      <c r="Y17" s="34">
        <v>0</v>
      </c>
    </row>
    <row r="18" spans="1:53" x14ac:dyDescent="0.25">
      <c r="A18" s="45" t="str">
        <f>IF(ISBLANK(E5),"",GetValuesFromNamedRange(E5,"Name"))</f>
        <v>Jhossue Jimenez</v>
      </c>
      <c r="B18" s="33" t="str">
        <f t="array" ref="B18">IF(OR($E$11=0,A18=""),"", SUM(IF(RIGHT($E$14:$Y$14,3)="Act",E18:Y18,0))/$E$11)</f>
        <v/>
      </c>
      <c r="C18" s="18">
        <f t="array" ref="C18">IF(A18="","",SUM(IF(ISNUMBER(E18:Y18),E18:Y18,0)*ISNUMBER(SEARCH("Act",$E$14:$Y$14))))</f>
        <v>11.75</v>
      </c>
      <c r="D18" s="29">
        <f t="array" ref="D18">IF(A18="","",SUM(IF(ISNUMBER(E18:Y18),E18:Y18,0)*ISNUMBER(SEARCH("Est",$E$14:$Y$14))))</f>
        <v>14.5</v>
      </c>
      <c r="E18" s="27">
        <f t="array" ref="E18:Y18">IF(A18 = "","",GetValuesFromNamedRange(E5,"T1Data"))</f>
        <v>2</v>
      </c>
      <c r="F18" s="17">
        <v>4</v>
      </c>
      <c r="G18" s="17">
        <v>5</v>
      </c>
      <c r="H18" s="17">
        <v>6.5</v>
      </c>
      <c r="I18" s="17">
        <v>4.75</v>
      </c>
      <c r="J18" s="17">
        <v>4</v>
      </c>
      <c r="K18" s="17">
        <v>0</v>
      </c>
      <c r="L18" s="17">
        <v>0</v>
      </c>
      <c r="M18" s="17">
        <v>0</v>
      </c>
      <c r="N18" s="17">
        <v>0</v>
      </c>
      <c r="O18" s="17">
        <v>0</v>
      </c>
      <c r="P18" s="17">
        <v>0</v>
      </c>
      <c r="Q18" s="17">
        <v>0</v>
      </c>
      <c r="R18" s="17">
        <v>0</v>
      </c>
      <c r="S18" s="17">
        <v>0</v>
      </c>
      <c r="T18" s="17">
        <v>0</v>
      </c>
      <c r="U18" s="17">
        <v>0</v>
      </c>
      <c r="V18" s="17">
        <v>0</v>
      </c>
      <c r="W18" s="17">
        <v>0</v>
      </c>
      <c r="X18" s="17">
        <v>0</v>
      </c>
      <c r="Y18" s="34">
        <v>0</v>
      </c>
    </row>
    <row r="19" spans="1:53" ht="13" thickBot="1" x14ac:dyDescent="0.3">
      <c r="A19" s="46" t="str">
        <f>IF(ISBLANK(E6),"",GetValuesFromNamedRange(E6,"Name"))</f>
        <v>Nsama Chipalo</v>
      </c>
      <c r="B19" s="33" t="str">
        <f t="array" ref="B19">IF(OR($E$11=0,A19=""),"", SUM(IF(RIGHT($E$14:$Y$14,3)="Act",E19:Y19,0))/$E$11)</f>
        <v/>
      </c>
      <c r="C19" s="19">
        <f t="array" ref="C19">IF(A19="","",SUM(IF(ISNUMBER(E19:Y19),E19:Y19,0)*ISNUMBER(SEARCH("Act",$E$14:$Y$14))))</f>
        <v>5.4499999999999993</v>
      </c>
      <c r="D19" s="31">
        <f t="array" ref="D19">IF(A19="","",SUM(IF(ISNUMBER(E19:Y19),E19:Y19,0)*ISNUMBER(SEARCH("Est",$E$14:$Y$14))))</f>
        <v>5.6</v>
      </c>
      <c r="E19" s="27">
        <f t="array" ref="E19:Y19">IF(A19 = "","",GetValuesFromNamedRange(E6,"T1Data"))</f>
        <v>2.2999999999999998</v>
      </c>
      <c r="F19" s="17">
        <v>2.2999999999999998</v>
      </c>
      <c r="G19" s="17">
        <v>3.15</v>
      </c>
      <c r="H19" s="17">
        <v>3.3</v>
      </c>
      <c r="I19" s="17">
        <v>0</v>
      </c>
      <c r="J19" s="17">
        <v>0</v>
      </c>
      <c r="K19" s="17">
        <v>0</v>
      </c>
      <c r="L19" s="17">
        <v>0</v>
      </c>
      <c r="M19" s="17">
        <v>0</v>
      </c>
      <c r="N19" s="17">
        <v>0</v>
      </c>
      <c r="O19" s="17">
        <v>0</v>
      </c>
      <c r="P19" s="17">
        <v>0</v>
      </c>
      <c r="Q19" s="17">
        <v>0</v>
      </c>
      <c r="R19" s="17">
        <v>0</v>
      </c>
      <c r="S19" s="17">
        <v>0</v>
      </c>
      <c r="T19" s="17">
        <v>0</v>
      </c>
      <c r="U19" s="17">
        <v>0</v>
      </c>
      <c r="V19" s="17">
        <v>0</v>
      </c>
      <c r="W19" s="17">
        <v>0</v>
      </c>
      <c r="X19" s="17">
        <v>0</v>
      </c>
      <c r="Y19" s="34">
        <v>0</v>
      </c>
    </row>
    <row r="20" spans="1:53" ht="13" thickBot="1" x14ac:dyDescent="0.3">
      <c r="A20" s="8" t="s">
        <v>25</v>
      </c>
      <c r="B20" s="16">
        <f>IF(OR(E11=0, SUM(B15:B19)=0),0,AVERAGE(B15:B19))</f>
        <v>0</v>
      </c>
      <c r="C20" s="20">
        <f>SUM(C15:C19)</f>
        <v>50.2</v>
      </c>
      <c r="D20" s="32">
        <f>SUM(D15:D19)</f>
        <v>52.1</v>
      </c>
      <c r="E20" s="20">
        <f>SUM(E15:E19)</f>
        <v>10.8</v>
      </c>
      <c r="F20" s="20">
        <f t="shared" ref="F20:Y20" si="0">SUM(F15:F19)</f>
        <v>14.3</v>
      </c>
      <c r="G20" s="36">
        <f t="shared" si="0"/>
        <v>22.4</v>
      </c>
      <c r="H20" s="36">
        <f t="shared" si="0"/>
        <v>24.8</v>
      </c>
      <c r="I20" s="36">
        <f t="shared" si="0"/>
        <v>17</v>
      </c>
      <c r="J20" s="36">
        <f t="shared" si="0"/>
        <v>13</v>
      </c>
      <c r="K20" s="36">
        <f t="shared" si="0"/>
        <v>0</v>
      </c>
      <c r="L20" s="36">
        <f t="shared" si="0"/>
        <v>0</v>
      </c>
      <c r="M20" s="36">
        <f t="shared" si="0"/>
        <v>0</v>
      </c>
      <c r="N20" s="36">
        <f t="shared" si="0"/>
        <v>0</v>
      </c>
      <c r="O20" s="36">
        <f t="shared" si="0"/>
        <v>0</v>
      </c>
      <c r="P20" s="36">
        <f t="shared" si="0"/>
        <v>0</v>
      </c>
      <c r="Q20" s="36">
        <f t="shared" si="0"/>
        <v>0</v>
      </c>
      <c r="R20" s="36">
        <f t="shared" si="0"/>
        <v>0</v>
      </c>
      <c r="S20" s="36">
        <f t="shared" si="0"/>
        <v>0</v>
      </c>
      <c r="T20" s="36">
        <f t="shared" si="0"/>
        <v>0</v>
      </c>
      <c r="U20" s="36">
        <f t="shared" si="0"/>
        <v>0</v>
      </c>
      <c r="V20" s="36">
        <f t="shared" si="0"/>
        <v>0</v>
      </c>
      <c r="W20" s="36">
        <f t="shared" si="0"/>
        <v>0</v>
      </c>
      <c r="X20" s="36">
        <f t="shared" si="0"/>
        <v>0</v>
      </c>
      <c r="Y20" s="37">
        <f t="shared" si="0"/>
        <v>0</v>
      </c>
    </row>
    <row r="21" spans="1:53" x14ac:dyDescent="0.25">
      <c r="A21" s="7"/>
      <c r="B21" s="43"/>
      <c r="C21" s="43"/>
      <c r="D21" s="43"/>
      <c r="E21" s="43"/>
      <c r="F21" s="43"/>
      <c r="G21" s="43"/>
      <c r="H21" s="43"/>
      <c r="I21" s="43"/>
      <c r="J21" s="43"/>
      <c r="K21" s="43"/>
      <c r="L21" s="43"/>
      <c r="M21" s="43"/>
      <c r="N21" s="43"/>
      <c r="O21" s="43"/>
      <c r="P21" s="43"/>
      <c r="Q21" s="43"/>
      <c r="R21" s="43"/>
      <c r="S21" s="43"/>
      <c r="T21" s="43"/>
      <c r="U21" s="43"/>
      <c r="V21" s="43"/>
      <c r="W21" s="43"/>
      <c r="X21" s="43"/>
      <c r="Y21" s="43"/>
      <c r="Z21" s="43"/>
      <c r="AA21" s="43"/>
      <c r="AB21" s="43"/>
      <c r="AC21" s="43"/>
      <c r="AD21" s="43"/>
      <c r="AE21" s="43"/>
      <c r="AF21" s="43"/>
      <c r="AG21" s="43"/>
      <c r="AH21" s="43"/>
      <c r="AI21" s="43"/>
      <c r="AJ21" s="43"/>
      <c r="AK21" s="43"/>
      <c r="AL21" s="43"/>
      <c r="AM21" s="43"/>
      <c r="AN21" s="43"/>
      <c r="AO21" s="43"/>
      <c r="AP21" s="43"/>
      <c r="AQ21" s="43"/>
      <c r="AR21" s="43"/>
      <c r="AS21" s="43"/>
      <c r="AT21" s="43"/>
      <c r="AU21" s="43"/>
      <c r="AV21" s="43"/>
      <c r="AW21" s="43"/>
      <c r="AX21" s="43"/>
      <c r="AY21" s="43"/>
      <c r="AZ21" s="43"/>
      <c r="BA21" s="43"/>
    </row>
    <row r="22" spans="1:53" s="49" customFormat="1" ht="10" customHeight="1" x14ac:dyDescent="0.25">
      <c r="A22" s="51"/>
      <c r="B22" s="52"/>
      <c r="C22" s="52"/>
      <c r="D22" s="52"/>
      <c r="E22" s="52"/>
      <c r="F22" s="52"/>
      <c r="G22" s="52"/>
      <c r="H22" s="52"/>
      <c r="I22" s="52"/>
      <c r="J22" s="52"/>
      <c r="K22" s="52"/>
      <c r="L22" s="52"/>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c r="AM22" s="52"/>
      <c r="AN22" s="52"/>
      <c r="AO22" s="52"/>
      <c r="AP22" s="52"/>
      <c r="AQ22" s="52"/>
      <c r="AR22" s="52"/>
      <c r="AS22" s="52"/>
      <c r="AT22" s="52"/>
      <c r="AU22" s="52"/>
      <c r="AV22" s="52"/>
      <c r="AW22" s="52"/>
      <c r="AX22" s="52"/>
      <c r="AY22" s="52"/>
      <c r="AZ22" s="52"/>
      <c r="BA22" s="52"/>
    </row>
    <row r="23" spans="1:53" ht="13" thickBot="1" x14ac:dyDescent="0.3">
      <c r="A23" s="7"/>
      <c r="B23" s="43"/>
      <c r="C23" s="43"/>
      <c r="D23" s="43"/>
      <c r="E23" s="43"/>
      <c r="F23" s="43"/>
      <c r="G23" s="43"/>
      <c r="H23" s="43"/>
      <c r="I23" s="43"/>
      <c r="J23" s="43"/>
      <c r="K23" s="43"/>
      <c r="L23" s="43"/>
      <c r="M23" s="43"/>
      <c r="N23" s="43"/>
      <c r="O23" s="43"/>
      <c r="P23" s="43"/>
      <c r="Q23" s="43"/>
      <c r="R23" s="43"/>
      <c r="S23" s="43"/>
      <c r="T23" s="43"/>
      <c r="U23" s="43"/>
      <c r="V23" s="43"/>
      <c r="W23" s="43"/>
      <c r="X23" s="43"/>
      <c r="Y23" s="43"/>
      <c r="Z23" s="43"/>
      <c r="AA23" s="43"/>
      <c r="AB23" s="43"/>
      <c r="AC23" s="43"/>
      <c r="AD23" s="43"/>
      <c r="AE23" s="43"/>
      <c r="AF23" s="43"/>
      <c r="AG23" s="43"/>
      <c r="AH23" s="43"/>
      <c r="AI23" s="43"/>
      <c r="AJ23" s="43"/>
      <c r="AK23" s="43"/>
      <c r="AL23" s="43"/>
      <c r="AM23" s="43"/>
      <c r="AN23" s="43"/>
      <c r="AO23" s="43"/>
      <c r="AP23" s="43"/>
      <c r="AQ23" s="43"/>
      <c r="AR23" s="43"/>
      <c r="AS23" s="43"/>
      <c r="AT23" s="43"/>
      <c r="AU23" s="43"/>
      <c r="AV23" s="43"/>
      <c r="AW23" s="43"/>
      <c r="AX23" s="43"/>
      <c r="AY23" s="43"/>
      <c r="AZ23" s="43"/>
      <c r="BA23" s="43"/>
    </row>
    <row r="24" spans="1:53" ht="18.75" customHeight="1" thickBot="1" x14ac:dyDescent="0.45">
      <c r="A24" s="54" t="s">
        <v>27</v>
      </c>
      <c r="D24" s="25" t="s">
        <v>29</v>
      </c>
      <c r="E24" s="41">
        <v>0</v>
      </c>
      <c r="F24" s="79" t="s">
        <v>33</v>
      </c>
      <c r="G24" s="80"/>
      <c r="H24" s="80"/>
      <c r="I24" s="80"/>
      <c r="J24" s="80"/>
      <c r="K24" s="80"/>
      <c r="L24" s="80"/>
      <c r="M24" s="80"/>
      <c r="N24" s="81"/>
      <c r="P24" s="43"/>
      <c r="Q24" s="43"/>
      <c r="R24" s="43"/>
      <c r="S24" s="43"/>
      <c r="T24" s="43"/>
      <c r="U24" s="43"/>
      <c r="V24" s="43"/>
      <c r="W24" s="43"/>
      <c r="X24" s="43"/>
      <c r="Y24" s="43"/>
      <c r="Z24" s="43"/>
      <c r="AA24" s="43"/>
      <c r="AB24" s="43"/>
      <c r="AC24" s="43"/>
      <c r="AD24" s="43"/>
      <c r="AE24" s="43"/>
      <c r="AF24" s="43"/>
      <c r="AG24" s="43"/>
      <c r="AH24" s="43"/>
      <c r="AI24" s="43"/>
      <c r="AJ24" s="43"/>
      <c r="AK24" s="43"/>
      <c r="AL24" s="43"/>
      <c r="AM24" s="43"/>
      <c r="AN24" s="43"/>
      <c r="AO24" s="43"/>
      <c r="AP24" s="43"/>
      <c r="AQ24" s="43"/>
      <c r="AR24" s="43"/>
      <c r="AS24" s="43"/>
      <c r="AT24" s="43"/>
      <c r="AU24" s="43"/>
      <c r="AV24" s="43"/>
      <c r="AW24" s="43"/>
      <c r="AX24" s="43"/>
      <c r="AY24" s="43"/>
      <c r="AZ24" s="43"/>
      <c r="BA24" s="43"/>
    </row>
    <row r="25" spans="1:53" ht="13" thickBot="1" x14ac:dyDescent="0.3">
      <c r="A25" s="7"/>
      <c r="B25" s="43"/>
      <c r="C25" s="43"/>
      <c r="D25" s="43"/>
      <c r="E25" s="43"/>
      <c r="F25" s="43"/>
      <c r="G25" s="43"/>
      <c r="H25" s="43"/>
      <c r="I25" s="43"/>
      <c r="J25" s="43"/>
      <c r="K25" s="43"/>
      <c r="L25" s="43"/>
      <c r="M25" s="43"/>
      <c r="N25" s="43"/>
      <c r="O25" s="43"/>
      <c r="P25" s="43"/>
      <c r="Q25" s="43"/>
      <c r="R25" s="43"/>
      <c r="S25" s="43"/>
      <c r="T25" s="43"/>
      <c r="U25" s="43"/>
      <c r="V25" s="43"/>
      <c r="W25" s="43"/>
      <c r="X25" s="43"/>
      <c r="Y25" s="43"/>
      <c r="Z25" s="43"/>
      <c r="AA25" s="43"/>
      <c r="AB25" s="43"/>
      <c r="AC25" s="43"/>
      <c r="AD25" s="43"/>
      <c r="AE25" s="43"/>
      <c r="AF25" s="43"/>
      <c r="AG25" s="43"/>
      <c r="AH25" s="43"/>
      <c r="AI25" s="43"/>
      <c r="AJ25" s="43"/>
      <c r="AK25" s="43"/>
      <c r="AL25" s="43"/>
      <c r="AM25" s="43"/>
      <c r="AN25" s="43"/>
      <c r="AO25" s="43"/>
      <c r="AP25" s="43"/>
      <c r="AQ25" s="43"/>
      <c r="AR25" s="43"/>
      <c r="AS25" s="43"/>
      <c r="AT25" s="43"/>
      <c r="AU25" s="43"/>
      <c r="AV25" s="43"/>
      <c r="AW25" s="43"/>
      <c r="AX25" s="43"/>
      <c r="AY25" s="43"/>
      <c r="AZ25" s="43"/>
      <c r="BA25" s="43"/>
    </row>
    <row r="26" spans="1:53" ht="18" x14ac:dyDescent="0.4">
      <c r="A26" s="42"/>
      <c r="B26" s="56" t="s">
        <v>27</v>
      </c>
      <c r="C26" s="57"/>
      <c r="D26" s="58"/>
      <c r="E26" s="84" t="s">
        <v>27</v>
      </c>
      <c r="F26" s="84"/>
      <c r="G26" s="85"/>
      <c r="H26" s="85"/>
      <c r="I26" s="85"/>
      <c r="J26" s="85"/>
      <c r="K26" s="85"/>
      <c r="L26" s="85"/>
      <c r="M26" s="85"/>
      <c r="N26" s="85"/>
      <c r="O26" s="85"/>
      <c r="P26" s="85"/>
      <c r="Q26" s="85"/>
      <c r="R26" s="85"/>
      <c r="S26" s="85"/>
      <c r="T26" s="85"/>
      <c r="U26" s="85"/>
      <c r="V26" s="85"/>
      <c r="W26" s="85"/>
      <c r="X26" s="85"/>
      <c r="Y26" s="85"/>
      <c r="Z26" s="86"/>
    </row>
    <row r="27" spans="1:53" ht="13" thickBot="1" x14ac:dyDescent="0.3">
      <c r="B27" s="9" t="s">
        <v>34</v>
      </c>
      <c r="C27" s="10" t="s">
        <v>23</v>
      </c>
      <c r="D27" s="11" t="s">
        <v>24</v>
      </c>
      <c r="E27" s="21" t="s">
        <v>28</v>
      </c>
      <c r="F27" s="21" t="s">
        <v>0</v>
      </c>
      <c r="G27" s="1" t="s">
        <v>1</v>
      </c>
      <c r="H27" s="1" t="s">
        <v>2</v>
      </c>
      <c r="I27" s="1" t="s">
        <v>3</v>
      </c>
      <c r="J27" s="1" t="s">
        <v>4</v>
      </c>
      <c r="K27" s="1" t="s">
        <v>5</v>
      </c>
      <c r="L27" s="1" t="s">
        <v>6</v>
      </c>
      <c r="M27" s="1" t="s">
        <v>7</v>
      </c>
      <c r="N27" s="1" t="s">
        <v>8</v>
      </c>
      <c r="O27" s="1" t="s">
        <v>9</v>
      </c>
      <c r="P27" s="1" t="s">
        <v>10</v>
      </c>
      <c r="Q27" s="1" t="s">
        <v>11</v>
      </c>
      <c r="R27" s="1" t="s">
        <v>12</v>
      </c>
      <c r="S27" s="1" t="s">
        <v>13</v>
      </c>
      <c r="T27" s="1" t="s">
        <v>14</v>
      </c>
      <c r="U27" s="1" t="s">
        <v>15</v>
      </c>
      <c r="V27" s="1" t="s">
        <v>16</v>
      </c>
      <c r="W27" s="1" t="s">
        <v>17</v>
      </c>
      <c r="X27" s="1" t="s">
        <v>18</v>
      </c>
      <c r="Y27" s="1" t="s">
        <v>19</v>
      </c>
      <c r="Z27" s="2" t="s">
        <v>20</v>
      </c>
    </row>
    <row r="28" spans="1:53" x14ac:dyDescent="0.25">
      <c r="A28" s="44" t="str">
        <f>IF(ISBLANK(E2),"",GetValuesFromNamedRange(E2,"Name"))</f>
        <v>Aaron Damrau</v>
      </c>
      <c r="B28" s="33" t="str">
        <f t="array" ref="B28">IF(OR($E$24=0,A28=""),"",SUM(IF(RIGHT($E$27:$Z$27,3)="Act",E28:Z28,0))/$E$24)</f>
        <v/>
      </c>
      <c r="C28" s="17">
        <f t="array" ref="C28">IF($A28="","",SUM(IF(ISNUMBER($E28:$Z28),$E28:$Z28,0)*ISNUMBER(SEARCH("Act",$E$27:$Z$27))))</f>
        <v>0</v>
      </c>
      <c r="D28" s="35">
        <f t="array" ref="D28">IF($A28="","",SUM(IF(ISNUMBER($E28:$Z28),$E28:$Z28,0)*ISNUMBER(SEARCH("Est",$E$27:$Z$27))))</f>
        <v>0</v>
      </c>
      <c r="E28" s="27">
        <f t="array" ref="E28:Z28">IF(A28 = "","",GetValuesFromNamedRange(E2,"T2Data"))</f>
        <v>0</v>
      </c>
      <c r="F28" s="27">
        <v>0</v>
      </c>
      <c r="G28" s="27">
        <v>0</v>
      </c>
      <c r="H28" s="27">
        <v>0</v>
      </c>
      <c r="I28" s="27">
        <v>0</v>
      </c>
      <c r="J28" s="27">
        <v>0</v>
      </c>
      <c r="K28" s="27">
        <v>0</v>
      </c>
      <c r="L28" s="27">
        <v>0</v>
      </c>
      <c r="M28" s="27">
        <v>0</v>
      </c>
      <c r="N28" s="27">
        <v>0</v>
      </c>
      <c r="O28" s="27">
        <v>0</v>
      </c>
      <c r="P28" s="27">
        <v>0</v>
      </c>
      <c r="Q28" s="27">
        <v>0</v>
      </c>
      <c r="R28" s="27">
        <v>0</v>
      </c>
      <c r="S28" s="27">
        <v>0</v>
      </c>
      <c r="T28" s="27">
        <v>0</v>
      </c>
      <c r="U28" s="27">
        <v>0</v>
      </c>
      <c r="V28" s="27">
        <v>0</v>
      </c>
      <c r="W28" s="27">
        <v>0</v>
      </c>
      <c r="X28" s="27">
        <v>0</v>
      </c>
      <c r="Y28" s="27">
        <v>0</v>
      </c>
      <c r="Z28" s="35">
        <v>0</v>
      </c>
    </row>
    <row r="29" spans="1:53" x14ac:dyDescent="0.25">
      <c r="A29" s="45" t="str">
        <f>IF(ISBLANK(E3),"",GetValuesFromNamedRange(E3,"Name"))</f>
        <v>Brandon Cole</v>
      </c>
      <c r="B29" s="33" t="str">
        <f t="array" ref="B29">IF(OR($E$24=0,A29=""),"",SUM(IF(RIGHT($E$27:$Z$27,3)="Act",E29:Z29,0))/$E$24)</f>
        <v/>
      </c>
      <c r="C29" s="18">
        <f t="array" ref="C29">IF($A29="","",SUM(IF(ISNUMBER($E29:$Z29),$E29:$Z29,0)*ISNUMBER(SEARCH("Act",$E$27:$Z$27))))</f>
        <v>0</v>
      </c>
      <c r="D29" s="29">
        <f t="array" ref="D29">IF($A29="","",SUM(IF(ISNUMBER($E29:$Z29),$E29:$Z29,0)*ISNUMBER(SEARCH("Est",$E$27:$Z$27))))</f>
        <v>0</v>
      </c>
      <c r="E29" s="28">
        <f t="array" ref="E29:Z29">IF(A29 = "","",GetValuesFromNamedRange(E3,"T2Data"))</f>
        <v>0</v>
      </c>
      <c r="F29" s="28">
        <v>0</v>
      </c>
      <c r="G29" s="28">
        <v>0</v>
      </c>
      <c r="H29" s="28">
        <v>0</v>
      </c>
      <c r="I29" s="28">
        <v>0</v>
      </c>
      <c r="J29" s="28">
        <v>0</v>
      </c>
      <c r="K29" s="28">
        <v>0</v>
      </c>
      <c r="L29" s="28">
        <v>0</v>
      </c>
      <c r="M29" s="28">
        <v>0</v>
      </c>
      <c r="N29" s="28">
        <v>0</v>
      </c>
      <c r="O29" s="28">
        <v>0</v>
      </c>
      <c r="P29" s="28">
        <v>0</v>
      </c>
      <c r="Q29" s="28">
        <v>0</v>
      </c>
      <c r="R29" s="28">
        <v>0</v>
      </c>
      <c r="S29" s="28">
        <v>0</v>
      </c>
      <c r="T29" s="28">
        <v>0</v>
      </c>
      <c r="U29" s="28">
        <v>0</v>
      </c>
      <c r="V29" s="28">
        <v>0</v>
      </c>
      <c r="W29" s="28">
        <v>0</v>
      </c>
      <c r="X29" s="28">
        <v>0</v>
      </c>
      <c r="Y29" s="28">
        <v>0</v>
      </c>
      <c r="Z29" s="29">
        <v>0</v>
      </c>
    </row>
    <row r="30" spans="1:53" x14ac:dyDescent="0.25">
      <c r="A30" s="45" t="str">
        <f>IF(ISBLANK(E4),"",GetValuesFromNamedRange(E4,"Name"))</f>
        <v>Jacob Peterson</v>
      </c>
      <c r="B30" s="33" t="str">
        <f t="array" ref="B30">IF(OR($E$24=0,A30=""),"",SUM(IF(RIGHT($E$27:$Z$27,3)="Act",E30:Z30,0))/$E$24)</f>
        <v/>
      </c>
      <c r="C30" s="18">
        <f t="array" ref="C30">IF($A30="","",SUM(IF(ISNUMBER($E30:$Z30),$E30:$Z30,0)*ISNUMBER(SEARCH("Act",$E$27:$Z$27))))</f>
        <v>0</v>
      </c>
      <c r="D30" s="29">
        <f t="array" ref="D30">IF($A30="","",SUM(IF(ISNUMBER($E30:$Z30),$E30:$Z30,0)*ISNUMBER(SEARCH("Est",$E$27:$Z$27))))</f>
        <v>0</v>
      </c>
      <c r="E30" s="28">
        <f t="array" ref="E30:Z30">IF(A30 = "","",GetValuesFromNamedRange(E4,"T2Data"))</f>
        <v>0</v>
      </c>
      <c r="F30" s="28">
        <v>0</v>
      </c>
      <c r="G30" s="28">
        <v>0</v>
      </c>
      <c r="H30" s="28">
        <v>0</v>
      </c>
      <c r="I30" s="28">
        <v>0</v>
      </c>
      <c r="J30" s="28">
        <v>0</v>
      </c>
      <c r="K30" s="28">
        <v>0</v>
      </c>
      <c r="L30" s="28">
        <v>0</v>
      </c>
      <c r="M30" s="28">
        <v>0</v>
      </c>
      <c r="N30" s="28">
        <v>0</v>
      </c>
      <c r="O30" s="28">
        <v>0</v>
      </c>
      <c r="P30" s="28">
        <v>0</v>
      </c>
      <c r="Q30" s="28">
        <v>0</v>
      </c>
      <c r="R30" s="28">
        <v>0</v>
      </c>
      <c r="S30" s="28">
        <v>0</v>
      </c>
      <c r="T30" s="28">
        <v>0</v>
      </c>
      <c r="U30" s="28">
        <v>0</v>
      </c>
      <c r="V30" s="28">
        <v>0</v>
      </c>
      <c r="W30" s="28">
        <v>0</v>
      </c>
      <c r="X30" s="28">
        <v>0</v>
      </c>
      <c r="Y30" s="28">
        <v>0</v>
      </c>
      <c r="Z30" s="29">
        <v>0</v>
      </c>
    </row>
    <row r="31" spans="1:53" x14ac:dyDescent="0.25">
      <c r="A31" s="45" t="str">
        <f>IF(ISBLANK(E5),"",GetValuesFromNamedRange(E5,"Name"))</f>
        <v>Jhossue Jimenez</v>
      </c>
      <c r="B31" s="33" t="str">
        <f t="array" ref="B31">IF(OR($E$24=0,A31=""),"",SUM(IF(RIGHT($E$27:$Z$27,3)="Act",E31:Z31,0))/$E$24)</f>
        <v/>
      </c>
      <c r="C31" s="18">
        <f t="array" ref="C31">IF($A31="","",SUM(IF(ISNUMBER($E31:$Z31),$E31:$Z31,0)*ISNUMBER(SEARCH("Act",$E$27:$Z$27))))</f>
        <v>0</v>
      </c>
      <c r="D31" s="29">
        <f t="array" ref="D31">IF($A31="","",SUM(IF(ISNUMBER($E31:$Z31),$E31:$Z31,0)*ISNUMBER(SEARCH("Est",$E$27:$Z$27))))</f>
        <v>0</v>
      </c>
      <c r="E31" s="28">
        <f t="array" ref="E31:Z31">IF(A31 = "","",GetValuesFromNamedRange(E5,"T2Data"))</f>
        <v>0</v>
      </c>
      <c r="F31" s="28">
        <v>0</v>
      </c>
      <c r="G31" s="28">
        <v>0</v>
      </c>
      <c r="H31" s="28">
        <v>0</v>
      </c>
      <c r="I31" s="28">
        <v>0</v>
      </c>
      <c r="J31" s="28">
        <v>0</v>
      </c>
      <c r="K31" s="28">
        <v>0</v>
      </c>
      <c r="L31" s="28">
        <v>0</v>
      </c>
      <c r="M31" s="28">
        <v>0</v>
      </c>
      <c r="N31" s="28">
        <v>0</v>
      </c>
      <c r="O31" s="28">
        <v>0</v>
      </c>
      <c r="P31" s="28">
        <v>0</v>
      </c>
      <c r="Q31" s="28">
        <v>0</v>
      </c>
      <c r="R31" s="28">
        <v>0</v>
      </c>
      <c r="S31" s="28">
        <v>0</v>
      </c>
      <c r="T31" s="28">
        <v>0</v>
      </c>
      <c r="U31" s="28">
        <v>0</v>
      </c>
      <c r="V31" s="28">
        <v>0</v>
      </c>
      <c r="W31" s="28">
        <v>0</v>
      </c>
      <c r="X31" s="28">
        <v>0</v>
      </c>
      <c r="Y31" s="28">
        <v>0</v>
      </c>
      <c r="Z31" s="29">
        <v>0</v>
      </c>
    </row>
    <row r="32" spans="1:53" ht="13" thickBot="1" x14ac:dyDescent="0.3">
      <c r="A32" s="46" t="str">
        <f>IF(ISBLANK(E6),"",GetValuesFromNamedRange(E6,"Name"))</f>
        <v>Nsama Chipalo</v>
      </c>
      <c r="B32" s="33" t="str">
        <f t="array" ref="B32">IF(OR($E$24=0,A32=""),"",SUM(IF(RIGHT($E$27:$Z$27,3)="Act",E32:Z32,0))/$E$24)</f>
        <v/>
      </c>
      <c r="C32" s="19">
        <f t="array" ref="C32">IF($A32="","",SUM(IF(ISNUMBER($E32:$Z32),$E32:$Z32,0)*ISNUMBER(SEARCH("Act",$E$27:$Z$27))))</f>
        <v>0</v>
      </c>
      <c r="D32" s="31">
        <f t="array" ref="D32">IF($A32="","",SUM(IF(ISNUMBER($E32:$Z32),$E32:$Z32,0)*ISNUMBER(SEARCH("Est",$E$27:$Z$27))))</f>
        <v>0</v>
      </c>
      <c r="E32" s="30">
        <f t="array" ref="E32:Z32">IF(A32 = "","",GetValuesFromNamedRange(E6,"T2Data"))</f>
        <v>0</v>
      </c>
      <c r="F32" s="30">
        <v>0</v>
      </c>
      <c r="G32" s="30">
        <v>0</v>
      </c>
      <c r="H32" s="30">
        <v>0</v>
      </c>
      <c r="I32" s="30">
        <v>0</v>
      </c>
      <c r="J32" s="30">
        <v>0</v>
      </c>
      <c r="K32" s="30">
        <v>0</v>
      </c>
      <c r="L32" s="30">
        <v>0</v>
      </c>
      <c r="M32" s="30">
        <v>0</v>
      </c>
      <c r="N32" s="30">
        <v>0</v>
      </c>
      <c r="O32" s="30">
        <v>0</v>
      </c>
      <c r="P32" s="30">
        <v>0</v>
      </c>
      <c r="Q32" s="30">
        <v>0</v>
      </c>
      <c r="R32" s="30">
        <v>0</v>
      </c>
      <c r="S32" s="30">
        <v>0</v>
      </c>
      <c r="T32" s="30">
        <v>0</v>
      </c>
      <c r="U32" s="30">
        <v>0</v>
      </c>
      <c r="V32" s="30">
        <v>0</v>
      </c>
      <c r="W32" s="30">
        <v>0</v>
      </c>
      <c r="X32" s="30">
        <v>0</v>
      </c>
      <c r="Y32" s="30">
        <v>0</v>
      </c>
      <c r="Z32" s="31">
        <v>0</v>
      </c>
    </row>
    <row r="33" spans="1:53" ht="13" thickBot="1" x14ac:dyDescent="0.3">
      <c r="A33" s="8" t="s">
        <v>25</v>
      </c>
      <c r="B33" s="16">
        <f>IF(OR(E24=0,SUM(B28:B32)=0),0,AVERAGE(B28:B32))</f>
        <v>0</v>
      </c>
      <c r="C33" s="20">
        <f t="shared" ref="C33:Z33" si="1">SUM(C28:C32)</f>
        <v>0</v>
      </c>
      <c r="D33" s="32">
        <f t="shared" si="1"/>
        <v>0</v>
      </c>
      <c r="E33" s="20">
        <f t="shared" si="1"/>
        <v>0</v>
      </c>
      <c r="F33" s="36">
        <f t="shared" si="1"/>
        <v>0</v>
      </c>
      <c r="G33" s="36">
        <f t="shared" si="1"/>
        <v>0</v>
      </c>
      <c r="H33" s="36">
        <f t="shared" si="1"/>
        <v>0</v>
      </c>
      <c r="I33" s="36">
        <f t="shared" si="1"/>
        <v>0</v>
      </c>
      <c r="J33" s="36">
        <f t="shared" si="1"/>
        <v>0</v>
      </c>
      <c r="K33" s="36">
        <f t="shared" si="1"/>
        <v>0</v>
      </c>
      <c r="L33" s="36">
        <f t="shared" si="1"/>
        <v>0</v>
      </c>
      <c r="M33" s="36">
        <f t="shared" si="1"/>
        <v>0</v>
      </c>
      <c r="N33" s="36">
        <f t="shared" si="1"/>
        <v>0</v>
      </c>
      <c r="O33" s="36">
        <f t="shared" si="1"/>
        <v>0</v>
      </c>
      <c r="P33" s="36">
        <f t="shared" si="1"/>
        <v>0</v>
      </c>
      <c r="Q33" s="36">
        <f t="shared" si="1"/>
        <v>0</v>
      </c>
      <c r="R33" s="36">
        <f t="shared" si="1"/>
        <v>0</v>
      </c>
      <c r="S33" s="36">
        <f t="shared" si="1"/>
        <v>0</v>
      </c>
      <c r="T33" s="36">
        <f t="shared" si="1"/>
        <v>0</v>
      </c>
      <c r="U33" s="36">
        <f t="shared" si="1"/>
        <v>0</v>
      </c>
      <c r="V33" s="36">
        <f t="shared" si="1"/>
        <v>0</v>
      </c>
      <c r="W33" s="36">
        <f t="shared" si="1"/>
        <v>0</v>
      </c>
      <c r="X33" s="36">
        <f t="shared" si="1"/>
        <v>0</v>
      </c>
      <c r="Y33" s="36">
        <f t="shared" si="1"/>
        <v>0</v>
      </c>
      <c r="Z33" s="37">
        <f t="shared" si="1"/>
        <v>0</v>
      </c>
    </row>
    <row r="34" spans="1:53" x14ac:dyDescent="0.25">
      <c r="A34" s="7"/>
      <c r="B34" s="43"/>
      <c r="C34" s="43"/>
      <c r="D34" s="43"/>
      <c r="E34" s="43"/>
      <c r="F34" s="43"/>
      <c r="G34" s="43"/>
      <c r="H34" s="43"/>
      <c r="I34" s="43"/>
      <c r="J34" s="43"/>
      <c r="K34" s="43"/>
      <c r="L34" s="43"/>
      <c r="M34" s="43"/>
      <c r="N34" s="43"/>
      <c r="O34" s="43"/>
      <c r="P34" s="43"/>
      <c r="Q34" s="43"/>
      <c r="R34" s="43"/>
      <c r="S34" s="43"/>
      <c r="T34" s="43"/>
      <c r="U34" s="43"/>
      <c r="V34" s="43"/>
      <c r="W34" s="43"/>
      <c r="X34" s="43"/>
      <c r="Y34" s="43"/>
      <c r="Z34" s="43"/>
      <c r="AA34" s="43"/>
      <c r="AB34" s="43"/>
      <c r="AC34" s="43"/>
      <c r="AD34" s="43"/>
      <c r="AE34" s="43"/>
      <c r="AF34" s="43"/>
      <c r="AG34" s="43"/>
      <c r="AH34" s="43"/>
      <c r="AI34" s="43"/>
      <c r="AJ34" s="43"/>
      <c r="AK34" s="43"/>
      <c r="AL34" s="43"/>
      <c r="AM34" s="43"/>
      <c r="AN34" s="43"/>
      <c r="AO34" s="43"/>
      <c r="AP34" s="43"/>
      <c r="AQ34" s="43"/>
      <c r="AR34" s="43"/>
      <c r="AS34" s="43"/>
      <c r="AT34" s="43"/>
      <c r="AU34" s="43"/>
      <c r="AV34" s="43"/>
      <c r="AW34" s="43"/>
      <c r="AX34" s="43"/>
      <c r="AY34" s="43"/>
      <c r="AZ34" s="43"/>
      <c r="BA34" s="43"/>
    </row>
    <row r="35" spans="1:53" s="49" customFormat="1" ht="10" customHeight="1" x14ac:dyDescent="0.25">
      <c r="D35" s="51"/>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row>
    <row r="36" spans="1:53" ht="13" x14ac:dyDescent="0.3">
      <c r="E36" s="24"/>
      <c r="G36" s="26"/>
      <c r="H36" s="24"/>
    </row>
    <row r="37" spans="1:53" ht="18" x14ac:dyDescent="0.4">
      <c r="A37" s="54" t="s">
        <v>31</v>
      </c>
      <c r="C37" s="25"/>
      <c r="D37" s="25" t="s">
        <v>29</v>
      </c>
      <c r="E37" s="41">
        <f>E11+E24</f>
        <v>0</v>
      </c>
      <c r="G37" s="26"/>
      <c r="H37" s="24"/>
    </row>
    <row r="38" spans="1:53" ht="13.5" thickBot="1" x14ac:dyDescent="0.35">
      <c r="C38" s="25"/>
      <c r="D38" s="26"/>
      <c r="E38" s="24"/>
      <c r="G38" s="26"/>
      <c r="H38" s="24"/>
    </row>
    <row r="39" spans="1:53" ht="12.75" customHeight="1" x14ac:dyDescent="0.3">
      <c r="A39" s="42"/>
      <c r="B39" s="56" t="s">
        <v>31</v>
      </c>
      <c r="C39" s="57"/>
      <c r="D39" s="58"/>
      <c r="J39" s="59" t="s">
        <v>32</v>
      </c>
      <c r="K39" s="60"/>
      <c r="L39" s="60"/>
      <c r="M39" s="60"/>
      <c r="N39" s="60"/>
      <c r="O39" s="60"/>
      <c r="P39" s="61"/>
    </row>
    <row r="40" spans="1:53" ht="13.5" customHeight="1" thickBot="1" x14ac:dyDescent="0.3">
      <c r="B40" s="9" t="s">
        <v>34</v>
      </c>
      <c r="C40" s="12" t="s">
        <v>23</v>
      </c>
      <c r="D40" s="11" t="s">
        <v>24</v>
      </c>
      <c r="J40" s="62"/>
      <c r="K40" s="63"/>
      <c r="L40" s="63"/>
      <c r="M40" s="63"/>
      <c r="N40" s="63"/>
      <c r="O40" s="63"/>
      <c r="P40" s="64"/>
    </row>
    <row r="41" spans="1:53" ht="13.5" customHeight="1" x14ac:dyDescent="0.25">
      <c r="A41" s="4" t="str">
        <f>IF(ISBLANK(E2),"",GetValuesFromNamedRange(E2,"Name"))</f>
        <v>Aaron Damrau</v>
      </c>
      <c r="B41" s="13" t="str">
        <f t="array" ref="B41">IF(OR(A41="",($E$11+$E$24)=0),"",SUM(IF(RIGHT($E$14:$Y$14,3)="Act",E15:Y15,0),IF(RIGHT($E$27:$Z$27,3)="Act",E28:Z28,0))/($E$11 + $E$24))</f>
        <v/>
      </c>
      <c r="C41" s="27">
        <f>IF(A41="","",SUM(C15,C28))</f>
        <v>9.5</v>
      </c>
      <c r="D41" s="34">
        <f>IF(A41="","",SUM(D15,D28))</f>
        <v>4.5</v>
      </c>
      <c r="J41" s="62"/>
      <c r="K41" s="63"/>
      <c r="L41" s="63"/>
      <c r="M41" s="63"/>
      <c r="N41" s="63"/>
      <c r="O41" s="63"/>
      <c r="P41" s="64"/>
    </row>
    <row r="42" spans="1:53" ht="12.75" customHeight="1" x14ac:dyDescent="0.25">
      <c r="A42" s="5" t="str">
        <f>IF(ISBLANK(E3),"",GetValuesFromNamedRange(E3,"Name"))</f>
        <v>Brandon Cole</v>
      </c>
      <c r="B42" s="14" t="str">
        <f t="array" ref="B42">IF(OR(A42="",($E$11+$E$24)=0),"",SUM(IF(RIGHT($E$14:$Y$14,3)="Act",E16:Y16,0),IF(RIGHT($E$27:$Z$27,3)="Act",E29:Z29,0))/($E$11 + $E$24))</f>
        <v/>
      </c>
      <c r="C42" s="28">
        <f>IF(A42="","",SUM(C16,C29))</f>
        <v>16.5</v>
      </c>
      <c r="D42" s="29">
        <f>IF(A42="","",SUM(D16,D29))</f>
        <v>16</v>
      </c>
      <c r="J42" s="62"/>
      <c r="K42" s="63"/>
      <c r="L42" s="63"/>
      <c r="M42" s="63"/>
      <c r="N42" s="63"/>
      <c r="O42" s="63"/>
      <c r="P42" s="64"/>
    </row>
    <row r="43" spans="1:53" x14ac:dyDescent="0.25">
      <c r="A43" s="5" t="str">
        <f>IF(ISBLANK(E4),"",GetValuesFromNamedRange(E4,"Name"))</f>
        <v>Jacob Peterson</v>
      </c>
      <c r="B43" s="14" t="str">
        <f t="array" ref="B43">IF(OR(A43="",($E$11+$E$24)=0),"",SUM(IF(RIGHT($E$14:$Y$14,3)="Act",E17:Y17,0),IF(RIGHT($E$27:$Z$27,3)="Act",E30:Z30,0))/($E$11 + $E$24))</f>
        <v/>
      </c>
      <c r="C43" s="28">
        <f>IF(A43="","",SUM(C17,C30))</f>
        <v>7</v>
      </c>
      <c r="D43" s="29">
        <f>IF(A43="","",SUM(D17,D30))</f>
        <v>11.5</v>
      </c>
      <c r="J43" s="62"/>
      <c r="K43" s="63"/>
      <c r="L43" s="63"/>
      <c r="M43" s="63"/>
      <c r="N43" s="63"/>
      <c r="O43" s="63"/>
      <c r="P43" s="64"/>
    </row>
    <row r="44" spans="1:53" ht="13" thickBot="1" x14ac:dyDescent="0.3">
      <c r="A44" s="5" t="str">
        <f>IF(ISBLANK(E5),"",GetValuesFromNamedRange(E5,"Name"))</f>
        <v>Jhossue Jimenez</v>
      </c>
      <c r="B44" s="14" t="str">
        <f t="array" ref="B44">IF(OR(A44="",($E$11+$E$24)=0),"",SUM(IF(RIGHT($E$14:$Y$14,3)="Act",E18:Y18,0),IF(RIGHT($E$27:$Z$27,3)="Act",E31:Z31,0))/($E$11 + $E$24))</f>
        <v/>
      </c>
      <c r="C44" s="28">
        <f>IF(A44="","",SUM(C18,C31))</f>
        <v>11.75</v>
      </c>
      <c r="D44" s="29">
        <f>IF(A44="","",SUM(D18,D31))</f>
        <v>14.5</v>
      </c>
      <c r="J44" s="65"/>
      <c r="K44" s="66"/>
      <c r="L44" s="66"/>
      <c r="M44" s="66"/>
      <c r="N44" s="66"/>
      <c r="O44" s="66"/>
      <c r="P44" s="67"/>
    </row>
    <row r="45" spans="1:53" ht="13" thickBot="1" x14ac:dyDescent="0.3">
      <c r="A45" s="6" t="str">
        <f>IF(ISBLANK(E6),"",GetValuesFromNamedRange(E6,"Name"))</f>
        <v>Nsama Chipalo</v>
      </c>
      <c r="B45" s="15" t="str">
        <f t="array" ref="B45">IF(OR(A45="",($E$11+$E$24)=0),"",SUM(IF(RIGHT($E$14:$Y$14,3)="Act",E19:Y19,0),IF(RIGHT($E$27:$Z$27,3)="Act",E32:Z32,0))/($E$11 + $E$24))</f>
        <v/>
      </c>
      <c r="C45" s="30">
        <f>IF(A45="","",SUM(C19,C32))</f>
        <v>5.4499999999999993</v>
      </c>
      <c r="D45" s="31">
        <f>IF(A45="","",SUM(D19,D32))</f>
        <v>5.6</v>
      </c>
    </row>
    <row r="46" spans="1:53" ht="13" thickBot="1" x14ac:dyDescent="0.3">
      <c r="A46" s="8" t="s">
        <v>25</v>
      </c>
      <c r="B46" s="16">
        <f>IF(OR((E11+E24)=0,SUM(B41:B45)=0),0,AVERAGE(B41:B45))</f>
        <v>0</v>
      </c>
      <c r="C46" s="20">
        <f>SUM(C41:C45)</f>
        <v>50.2</v>
      </c>
      <c r="D46" s="32">
        <f>SUM(D41:D45)</f>
        <v>52.1</v>
      </c>
    </row>
    <row r="47" spans="1:53" x14ac:dyDescent="0.25">
      <c r="A47" s="7"/>
      <c r="B47" s="43"/>
      <c r="C47" s="43"/>
      <c r="D47" s="43"/>
      <c r="E47" s="43"/>
      <c r="F47" s="43"/>
      <c r="G47" s="43"/>
      <c r="H47" s="43"/>
      <c r="I47" s="43"/>
      <c r="J47" s="43"/>
      <c r="K47" s="43"/>
      <c r="L47" s="43"/>
      <c r="M47" s="43"/>
      <c r="N47" s="43"/>
      <c r="O47" s="43"/>
      <c r="P47" s="43"/>
      <c r="Q47" s="43"/>
      <c r="R47" s="43"/>
      <c r="S47" s="43"/>
      <c r="T47" s="43"/>
      <c r="U47" s="43"/>
      <c r="V47" s="43"/>
      <c r="W47" s="43"/>
      <c r="X47" s="43"/>
      <c r="Y47" s="43"/>
      <c r="Z47" s="43"/>
      <c r="AA47" s="43"/>
      <c r="AB47" s="43"/>
      <c r="AC47" s="43"/>
      <c r="AD47" s="43"/>
      <c r="AE47" s="43"/>
      <c r="AF47" s="43"/>
      <c r="AG47" s="43"/>
      <c r="AH47" s="43"/>
      <c r="AI47" s="43"/>
      <c r="AJ47" s="43"/>
      <c r="AK47" s="43"/>
      <c r="AL47" s="43"/>
      <c r="AM47" s="43"/>
      <c r="AN47" s="43"/>
      <c r="AO47" s="43"/>
      <c r="AP47" s="43"/>
      <c r="AQ47" s="43"/>
      <c r="AR47" s="43"/>
      <c r="AS47" s="43"/>
      <c r="AT47" s="43"/>
      <c r="AU47" s="43"/>
      <c r="AV47" s="43"/>
      <c r="AW47" s="43"/>
      <c r="AX47" s="43"/>
      <c r="AY47" s="43"/>
      <c r="AZ47" s="43"/>
      <c r="BA47" s="43"/>
    </row>
    <row r="49" spans="3:3" ht="17.5" x14ac:dyDescent="0.35">
      <c r="C49" s="23"/>
    </row>
    <row r="50" spans="3:3" ht="17.5" x14ac:dyDescent="0.35">
      <c r="C50" s="22"/>
    </row>
    <row r="58" spans="3:3" x14ac:dyDescent="0.25">
      <c r="C58" s="38"/>
    </row>
    <row r="71" spans="12:14" x14ac:dyDescent="0.25">
      <c r="L71" s="39"/>
      <c r="M71" s="39"/>
      <c r="N71" s="40"/>
    </row>
  </sheetData>
  <mergeCells count="19">
    <mergeCell ref="E1:H1"/>
    <mergeCell ref="B26:D26"/>
    <mergeCell ref="F11:N11"/>
    <mergeCell ref="F24:N24"/>
    <mergeCell ref="E2:H2"/>
    <mergeCell ref="E26:Z26"/>
    <mergeCell ref="B1:D1"/>
    <mergeCell ref="M2:R7"/>
    <mergeCell ref="A2:D2"/>
    <mergeCell ref="B39:D39"/>
    <mergeCell ref="J39:P44"/>
    <mergeCell ref="B13:D13"/>
    <mergeCell ref="E3:H3"/>
    <mergeCell ref="E4:H4"/>
    <mergeCell ref="E5:H5"/>
    <mergeCell ref="E6:H6"/>
    <mergeCell ref="E13:Y13"/>
    <mergeCell ref="E7:H7"/>
    <mergeCell ref="A7:D7"/>
  </mergeCells>
  <phoneticPr fontId="2" type="noConversion"/>
  <dataValidations count="3">
    <dataValidation allowBlank="1" showInputMessage="1" showErrorMessage="1" promptTitle="Team name" prompt="Enter the name of your team." sqref="E1:H1"/>
    <dataValidation allowBlank="1" showInputMessage="1" showErrorMessage="1" prompt="Enter the name of an individual time reporting file.  These files must be in the same directory as this team reporting file.  Include the .xls extension in the file name." sqref="F2:H6 E2:E6"/>
    <dataValidation allowBlank="1" showInputMessage="1" showErrorMessage="1" prompt="Enter the name of the directory where the individual time reporting files are located, if they are not in the same directory as this team file." sqref="E7:H7"/>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OpenBooks">
                <anchor moveWithCells="1" sizeWithCells="1">
                  <from>
                    <xdr:col>9</xdr:col>
                    <xdr:colOff>0</xdr:colOff>
                    <xdr:row>0</xdr:row>
                    <xdr:rowOff>260350</xdr:rowOff>
                  </from>
                  <to>
                    <xdr:col>10</xdr:col>
                    <xdr:colOff>488950</xdr:colOff>
                    <xdr:row>3</xdr:row>
                    <xdr:rowOff>31750</xdr:rowOff>
                  </to>
                </anchor>
              </controlPr>
            </control>
          </mc:Choice>
        </mc:AlternateContent>
        <mc:AlternateContent xmlns:mc="http://schemas.openxmlformats.org/markup-compatibility/2006">
          <mc:Choice Requires="x14">
            <control shapeId="2050" r:id="rId5" name="Button 2">
              <controlPr defaultSize="0" print="0" autoFill="0" autoPict="0" macro="[0]!Recalculate">
                <anchor moveWithCells="1" sizeWithCells="1">
                  <from>
                    <xdr:col>5</xdr:col>
                    <xdr:colOff>508000</xdr:colOff>
                    <xdr:row>38</xdr:row>
                    <xdr:rowOff>0</xdr:rowOff>
                  </from>
                  <to>
                    <xdr:col>7</xdr:col>
                    <xdr:colOff>508000</xdr:colOff>
                    <xdr:row>41</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Team Reporting</vt:lpstr>
      <vt:lpstr>IndividualDir</vt:lpstr>
      <vt:lpstr>IndividualFiles</vt:lpstr>
    </vt:vector>
  </TitlesOfParts>
  <Company>Our House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Vallino</dc:creator>
  <cp:lastModifiedBy>Jhossue Jimenez</cp:lastModifiedBy>
  <dcterms:created xsi:type="dcterms:W3CDTF">2007-12-09T19:25:41Z</dcterms:created>
  <dcterms:modified xsi:type="dcterms:W3CDTF">2014-09-15T03:00:54Z</dcterms:modified>
</cp:coreProperties>
</file>